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台账" sheetId="1" state="visible" r:id="rId1"/>
    <sheet xmlns:r="http://schemas.openxmlformats.org/officeDocument/2006/relationships" name="分类与状态" sheetId="2" state="visible" r:id="rId2"/>
    <sheet xmlns:r="http://schemas.openxmlformats.org/officeDocument/2006/relationships" name="数据看板" sheetId="3" state="visible" r:id="rId3"/>
  </sheets>
  <definedNames>
    <definedName name="_xlnm._FilterDatabase" localSheetId="0" hidden="1">'商品台账'!$A$1:$P$101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¥#,##0.00"/>
  </numFmts>
  <fonts count="7">
    <font>
      <name val="Calibri"/>
      <family val="2"/>
      <color theme="1"/>
      <sz val="11"/>
      <scheme val="minor"/>
    </font>
    <font>
      <name val="Microsoft YaHei"/>
      <color rgb="001F2933"/>
      <sz val="10"/>
    </font>
    <font>
      <name val="Microsoft YaHei"/>
      <b val="1"/>
      <color rgb="00FFFFFF"/>
      <sz val="11"/>
    </font>
    <font>
      <name val="Microsoft YaHei"/>
      <color rgb="0060706B"/>
      <sz val="9"/>
    </font>
    <font>
      <name val="Microsoft YaHei"/>
      <b val="1"/>
      <color rgb="00FFFFFF"/>
      <sz val="16"/>
    </font>
    <font>
      <name val="Microsoft YaHei"/>
      <b val="1"/>
      <color rgb="001F2933"/>
      <sz val="11"/>
    </font>
    <font>
      <name val="Microsoft YaHei"/>
      <b val="1"/>
      <color rgb="00244C48"/>
      <sz val="12"/>
    </font>
  </fonts>
  <fills count="8">
    <fill>
      <patternFill/>
    </fill>
    <fill>
      <patternFill patternType="gray125"/>
    </fill>
    <fill>
      <patternFill patternType="solid">
        <fgColor rgb="00244C48"/>
      </patternFill>
    </fill>
    <fill>
      <patternFill patternType="solid">
        <fgColor rgb="00F7F9F8"/>
      </patternFill>
    </fill>
    <fill>
      <patternFill patternType="solid">
        <fgColor rgb="00EEF3F2"/>
      </patternFill>
    </fill>
    <fill>
      <patternFill patternType="solid">
        <fgColor rgb="00FFFFFF"/>
      </patternFill>
    </fill>
    <fill>
      <patternFill patternType="solid">
        <fgColor rgb="00E8F1EF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D9E2DF"/>
      </left>
      <right style="thin">
        <color rgb="00D9E2DF"/>
      </right>
      <top style="thin">
        <color rgb="00D9E2DF"/>
      </top>
      <bottom style="thin">
        <color rgb="00D9E2D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165" fontId="1" fillId="3" borderId="1" applyAlignment="1" pivotButton="0" quotePrefix="0" xfId="0">
      <alignment vertical="top" wrapText="1"/>
    </xf>
    <xf numFmtId="9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165" fontId="1" fillId="0" borderId="1" applyAlignment="1" pivotButton="0" quotePrefix="0" xfId="0">
      <alignment vertical="top" wrapText="1"/>
    </xf>
    <xf numFmtId="9" fontId="1" fillId="0" borderId="1" applyAlignment="1" pivotButton="0" quotePrefix="0" xfId="0">
      <alignment vertical="top" wrapText="1"/>
    </xf>
    <xf numFmtId="164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1" fillId="3" borderId="1" pivotButton="0" quotePrefix="0" xfId="0"/>
    <xf numFmtId="0" fontId="1" fillId="5" borderId="1" pivotButton="0" quotePrefix="0" xfId="0"/>
    <xf numFmtId="0" fontId="4" fillId="2" borderId="0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/>
    </xf>
    <xf numFmtId="0" fontId="0" fillId="3" borderId="1" pivotButton="0" quotePrefix="0" xfId="0"/>
    <xf numFmtId="0" fontId="0" fillId="5" borderId="1" pivotButton="0" quotePrefix="0" xfId="0"/>
    <xf numFmtId="165" fontId="6" fillId="0" borderId="1" applyAlignment="1" pivotButton="0" quotePrefix="0" xfId="0">
      <alignment horizontal="right" vertical="center"/>
    </xf>
    <xf numFmtId="0" fontId="5" fillId="7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</cellXfs>
  <cellStyles count="1">
    <cellStyle name="Normal" xfId="0" builtinId="0" hidden="0"/>
  </cellStyles>
  <dxfs count="5">
    <dxf>
      <font>
        <b val="1"/>
        <color rgb="007A5A00"/>
      </font>
      <fill>
        <patternFill patternType="solid">
          <fgColor rgb="00FFF7D6"/>
        </patternFill>
      </fill>
    </dxf>
    <dxf>
      <font>
        <b val="1"/>
        <color rgb="004B5563"/>
      </font>
      <fill>
        <patternFill patternType="solid">
          <fgColor rgb="00E8EAED"/>
        </patternFill>
      </fill>
    </dxf>
    <dxf>
      <font>
        <b val="1"/>
        <color rgb="00174EA6"/>
      </font>
      <fill>
        <patternFill patternType="solid">
          <fgColor rgb="00DDEBFF"/>
        </patternFill>
      </fill>
    </dxf>
    <dxf>
      <font>
        <b val="1"/>
        <color rgb="00166534"/>
      </font>
      <fill>
        <patternFill patternType="solid">
          <fgColor rgb="00DCF5E7"/>
        </patternFill>
      </fill>
    </dxf>
    <dxf>
      <font>
        <b val="1"/>
        <color rgb="00B42318"/>
      </font>
      <fill>
        <patternFill patternType="solid">
          <fgColor rgb="00FFE1E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商品状态分布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'数据看板'!E3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'数据看板'!$D$4:$D$8</f>
            </numRef>
          </cat>
          <val>
            <numRef>
              <f>'数据看板'!$E$4:$E$8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数量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状态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Codex</author>
  </authors>
  <commentList>
    <comment ref="B1" authorId="0" shapeId="0">
      <text>
        <t>建议插入压缩后的小图或直接把图片缩放到单元格内；高清图地址放到“图片链接”。</t>
      </text>
    </comment>
    <comment ref="C1" authorId="0" shapeId="0">
      <text>
        <t>这里写可直接发布到闲鱼的标题，尽量包含品类、规格、状态或适用场景。</t>
      </text>
    </comment>
    <comment ref="F1" authorId="0" shapeId="0">
      <text>
        <t>写规格、成色、瑕疵、亮点、打包销售建议。</t>
      </text>
    </comment>
    <comment ref="L1" authorId="0" shapeId="0">
      <text>
        <t>用下拉状态推进商品流转：待拍图、待上架、已上架、已售出、下架。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10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roductLedger" displayName="ProductLedger" ref="A1:P101" headerRowCount="1">
  <autoFilter ref="A1:P101"/>
  <tableColumns count="16">
    <tableColumn id="1" name="编号"/>
    <tableColumn id="2" name="商品缩略图"/>
    <tableColumn id="3" name="商品标题"/>
    <tableColumn id="4" name="分类"/>
    <tableColumn id="5" name="成色"/>
    <tableColumn id="6" name="商品信息"/>
    <tableColumn id="7" name="成本价"/>
    <tableColumn id="8" name="闲鱼售价"/>
    <tableColumn id="9" name="预估利润"/>
    <tableColumn id="10" name="利润率"/>
    <tableColumn id="11" name="库存数量"/>
    <tableColumn id="12" name="上架状态"/>
    <tableColumn id="13" name="图片链接"/>
    <tableColumn id="14" name="闲鱼链接"/>
    <tableColumn id="15" name="备注"/>
    <tableColumn id="16" name="更新时间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12" customWidth="1" min="4" max="4"/>
    <col width="10" customWidth="1" min="5" max="5"/>
    <col width="36" customWidth="1" min="6" max="6"/>
    <col width="11" customWidth="1" min="7" max="7"/>
    <col width="11" customWidth="1" min="8" max="8"/>
    <col width="11" customWidth="1" min="9" max="9"/>
    <col width="10" customWidth="1" min="10" max="10"/>
    <col width="10" customWidth="1" min="11" max="11"/>
    <col width="12" customWidth="1" min="12" max="12"/>
    <col width="28" customWidth="1" min="13" max="13"/>
    <col width="28" customWidth="1" min="14" max="14"/>
    <col width="26" customWidth="1" min="15" max="15"/>
    <col width="14" customWidth="1" min="16" max="16"/>
  </cols>
  <sheetData>
    <row r="1" ht="30" customHeight="1">
      <c r="A1" s="1" t="inlineStr">
        <is>
          <t>编号</t>
        </is>
      </c>
      <c r="B1" s="1" t="inlineStr">
        <is>
          <t>商品缩略图</t>
        </is>
      </c>
      <c r="C1" s="1" t="inlineStr">
        <is>
          <t>商品标题</t>
        </is>
      </c>
      <c r="D1" s="1" t="inlineStr">
        <is>
          <t>分类</t>
        </is>
      </c>
      <c r="E1" s="1" t="inlineStr">
        <is>
          <t>成色</t>
        </is>
      </c>
      <c r="F1" s="1" t="inlineStr">
        <is>
          <t>商品信息</t>
        </is>
      </c>
      <c r="G1" s="1" t="inlineStr">
        <is>
          <t>成本价</t>
        </is>
      </c>
      <c r="H1" s="1" t="inlineStr">
        <is>
          <t>闲鱼售价</t>
        </is>
      </c>
      <c r="I1" s="1" t="inlineStr">
        <is>
          <t>预估利润</t>
        </is>
      </c>
      <c r="J1" s="1" t="inlineStr">
        <is>
          <t>利润率</t>
        </is>
      </c>
      <c r="K1" s="1" t="inlineStr">
        <is>
          <t>库存数量</t>
        </is>
      </c>
      <c r="L1" s="1" t="inlineStr">
        <is>
          <t>上架状态</t>
        </is>
      </c>
      <c r="M1" s="1" t="inlineStr">
        <is>
          <t>图片链接</t>
        </is>
      </c>
      <c r="N1" s="1" t="inlineStr">
        <is>
          <t>闲鱼链接</t>
        </is>
      </c>
      <c r="O1" s="1" t="inlineStr">
        <is>
          <t>备注</t>
        </is>
      </c>
      <c r="P1" s="1" t="inlineStr">
        <is>
          <t>更新时间</t>
        </is>
      </c>
    </row>
    <row r="2" ht="58" customHeight="1">
      <c r="A2" s="2" t="inlineStr">
        <is>
          <t>XY001</t>
        </is>
      </c>
      <c r="B2" s="3" t="inlineStr">
        <is>
          <t>粘贴小图</t>
        </is>
      </c>
      <c r="C2" s="2" t="inlineStr">
        <is>
          <t>手机壳透明软壳 适合备用机</t>
        </is>
      </c>
      <c r="D2" s="2" t="inlineStr">
        <is>
          <t>数码配件</t>
        </is>
      </c>
      <c r="E2" s="2" t="inlineStr">
        <is>
          <t>9成新</t>
        </is>
      </c>
      <c r="F2" s="2" t="inlineStr">
        <is>
          <t>无明显划痕，适合一元引流或搭配出售</t>
        </is>
      </c>
      <c r="G2" s="4" t="n">
        <v>0.3</v>
      </c>
      <c r="H2" s="4" t="n">
        <v>1</v>
      </c>
      <c r="I2" s="4">
        <f>IF(OR(G2="",H2=""),"",H2-G2)</f>
        <v/>
      </c>
      <c r="J2" s="5">
        <f>IF(OR(H2="",I2=""),"",I2/H2)</f>
        <v/>
      </c>
      <c r="K2" s="2" t="n">
        <v>3</v>
      </c>
      <c r="L2" s="2" t="inlineStr">
        <is>
          <t>待上架</t>
        </is>
      </c>
      <c r="M2" s="2" t="inlineStr"/>
      <c r="N2" s="2" t="inlineStr"/>
      <c r="O2" s="2" t="inlineStr">
        <is>
          <t>可和数据线一起打包</t>
        </is>
      </c>
      <c r="P2" s="6" t="n">
        <v>46213</v>
      </c>
    </row>
    <row r="3" ht="58" customHeight="1">
      <c r="A3" s="7" t="inlineStr">
        <is>
          <t>XY002</t>
        </is>
      </c>
      <c r="B3" s="3" t="inlineStr">
        <is>
          <t>粘贴小图</t>
        </is>
      </c>
      <c r="C3" s="7" t="inlineStr">
        <is>
          <t>小号便签本 口袋记事本</t>
        </is>
      </c>
      <c r="D3" s="7" t="inlineStr">
        <is>
          <t>文具</t>
        </is>
      </c>
      <c r="E3" s="7" t="inlineStr">
        <is>
          <t>全新</t>
        </is>
      </c>
      <c r="F3" s="7" t="inlineStr">
        <is>
          <t>库存小本子，封面干净，适合学生党</t>
        </is>
      </c>
      <c r="G3" s="8" t="n">
        <v>0.45</v>
      </c>
      <c r="H3" s="8" t="n">
        <v>1</v>
      </c>
      <c r="I3" s="8">
        <f>IF(OR(G3="",H3=""),"",H3-G3)</f>
        <v/>
      </c>
      <c r="J3" s="9">
        <f>IF(OR(H3="",I3=""),"",I3/H3)</f>
        <v/>
      </c>
      <c r="K3" s="7" t="n">
        <v>8</v>
      </c>
      <c r="L3" s="7" t="inlineStr">
        <is>
          <t>已上架</t>
        </is>
      </c>
      <c r="M3" s="7" t="inlineStr"/>
      <c r="N3" s="7" t="inlineStr"/>
      <c r="O3" s="7" t="inlineStr">
        <is>
          <t>标题可加关键词：便携/学习</t>
        </is>
      </c>
      <c r="P3" s="10" t="n">
        <v>46213</v>
      </c>
    </row>
    <row r="4" ht="58" customHeight="1">
      <c r="A4" s="2" t="inlineStr">
        <is>
          <t>XY003</t>
        </is>
      </c>
      <c r="B4" s="3" t="inlineStr">
        <is>
          <t>粘贴小图</t>
        </is>
      </c>
      <c r="C4" s="2" t="inlineStr">
        <is>
          <t>钥匙扣挂件 简约款</t>
        </is>
      </c>
      <c r="D4" s="2" t="inlineStr">
        <is>
          <t>饰品</t>
        </is>
      </c>
      <c r="E4" s="2" t="inlineStr">
        <is>
          <t>8成新</t>
        </is>
      </c>
      <c r="F4" s="2" t="inlineStr">
        <is>
          <t>轻微使用痕迹，拍照时注意展示正反面</t>
        </is>
      </c>
      <c r="G4" s="4" t="n">
        <v>0.2</v>
      </c>
      <c r="H4" s="4" t="n">
        <v>1</v>
      </c>
      <c r="I4" s="4">
        <f>IF(OR(G4="",H4=""),"",H4-G4)</f>
        <v/>
      </c>
      <c r="J4" s="5">
        <f>IF(OR(H4="",I4=""),"",I4/H4)</f>
        <v/>
      </c>
      <c r="K4" s="2" t="n">
        <v>2</v>
      </c>
      <c r="L4" s="2" t="inlineStr">
        <is>
          <t>待拍图</t>
        </is>
      </c>
      <c r="M4" s="2" t="inlineStr"/>
      <c r="N4" s="2" t="inlineStr"/>
      <c r="O4" s="2" t="inlineStr">
        <is>
          <t>可做凑单商品</t>
        </is>
      </c>
      <c r="P4" s="6" t="n">
        <v>46213</v>
      </c>
    </row>
    <row r="5" ht="58" customHeight="1">
      <c r="A5" s="7" t="inlineStr">
        <is>
          <t>XY004</t>
        </is>
      </c>
      <c r="B5" s="3" t="inlineStr">
        <is>
          <t>粘贴小图</t>
        </is>
      </c>
      <c r="C5" s="7" t="inlineStr">
        <is>
          <t>桌面收纳小夹子 票据夹</t>
        </is>
      </c>
      <c r="D5" s="7" t="inlineStr">
        <is>
          <t>家居</t>
        </is>
      </c>
      <c r="E5" s="7" t="inlineStr">
        <is>
          <t>全新</t>
        </is>
      </c>
      <c r="F5" s="7" t="inlineStr">
        <is>
          <t>适合桌面收纳、票据整理，体积小好发货</t>
        </is>
      </c>
      <c r="G5" s="8" t="n">
        <v>0.35</v>
      </c>
      <c r="H5" s="8" t="n">
        <v>1</v>
      </c>
      <c r="I5" s="8">
        <f>IF(OR(G5="",H5=""),"",H5-G5)</f>
        <v/>
      </c>
      <c r="J5" s="9">
        <f>IF(OR(H5="",I5=""),"",I5/H5)</f>
        <v/>
      </c>
      <c r="K5" s="7" t="n">
        <v>5</v>
      </c>
      <c r="L5" s="7" t="inlineStr">
        <is>
          <t>已售出</t>
        </is>
      </c>
      <c r="M5" s="7" t="inlineStr"/>
      <c r="N5" s="7" t="inlineStr"/>
      <c r="O5" s="7" t="inlineStr">
        <is>
          <t>复盘：标题里可加收纳</t>
        </is>
      </c>
      <c r="P5" s="10" t="n">
        <v>46213</v>
      </c>
    </row>
    <row r="6" ht="58" customHeight="1">
      <c r="A6" s="2" t="inlineStr">
        <is>
          <t>XY005</t>
        </is>
      </c>
      <c r="B6" s="3" t="inlineStr">
        <is>
          <t>粘贴小图</t>
        </is>
      </c>
      <c r="C6" s="2" t="inlineStr">
        <is>
          <t>随机贴纸包 手账装饰</t>
        </is>
      </c>
      <c r="D6" s="2" t="inlineStr">
        <is>
          <t>杂货</t>
        </is>
      </c>
      <c r="E6" s="2" t="inlineStr">
        <is>
          <t>全新</t>
        </is>
      </c>
      <c r="F6" s="2" t="inlineStr">
        <is>
          <t>每包约10张，随机款，适合低价走量</t>
        </is>
      </c>
      <c r="G6" s="4" t="n">
        <v>0.5</v>
      </c>
      <c r="H6" s="4" t="n">
        <v>1</v>
      </c>
      <c r="I6" s="4">
        <f>IF(OR(G6="",H6=""),"",H6-G6)</f>
        <v/>
      </c>
      <c r="J6" s="5">
        <f>IF(OR(H6="",I6=""),"",I6/H6)</f>
        <v/>
      </c>
      <c r="K6" s="2" t="n">
        <v>10</v>
      </c>
      <c r="L6" s="2" t="inlineStr">
        <is>
          <t>待上架</t>
        </is>
      </c>
      <c r="M6" s="2" t="inlineStr"/>
      <c r="N6" s="2" t="inlineStr"/>
      <c r="O6" s="2" t="inlineStr">
        <is>
          <t>可设置多件优惠</t>
        </is>
      </c>
      <c r="P6" s="6" t="n">
        <v>46213</v>
      </c>
    </row>
    <row r="7" ht="58" customHeight="1">
      <c r="A7" s="7">
        <f>IF(C7="","","XY"&amp;TEXT(ROW()-1,"000"))</f>
        <v/>
      </c>
      <c r="B7" s="3" t="inlineStr">
        <is>
          <t>粘贴小图</t>
        </is>
      </c>
      <c r="C7" s="7" t="n"/>
      <c r="D7" s="7" t="n"/>
      <c r="E7" s="7" t="n"/>
      <c r="F7" s="7" t="n"/>
      <c r="G7" s="8" t="n"/>
      <c r="H7" s="8" t="n"/>
      <c r="I7" s="8">
        <f>IF(OR(G7="",H7=""),"",H7-G7)</f>
        <v/>
      </c>
      <c r="J7" s="9">
        <f>IF(OR(H7="",I7=""),"",I7/H7)</f>
        <v/>
      </c>
      <c r="K7" s="7" t="n"/>
      <c r="L7" s="7" t="n"/>
      <c r="M7" s="7" t="n"/>
      <c r="N7" s="7" t="n"/>
      <c r="O7" s="7" t="n"/>
      <c r="P7" s="10" t="n"/>
    </row>
    <row r="8" ht="58" customHeight="1">
      <c r="A8" s="2">
        <f>IF(C8="","","XY"&amp;TEXT(ROW()-1,"000"))</f>
        <v/>
      </c>
      <c r="B8" s="3" t="inlineStr">
        <is>
          <t>粘贴小图</t>
        </is>
      </c>
      <c r="C8" s="2" t="n"/>
      <c r="D8" s="2" t="n"/>
      <c r="E8" s="2" t="n"/>
      <c r="F8" s="2" t="n"/>
      <c r="G8" s="4" t="n"/>
      <c r="H8" s="4" t="n"/>
      <c r="I8" s="4">
        <f>IF(OR(G8="",H8=""),"",H8-G8)</f>
        <v/>
      </c>
      <c r="J8" s="5">
        <f>IF(OR(H8="",I8=""),"",I8/H8)</f>
        <v/>
      </c>
      <c r="K8" s="2" t="n"/>
      <c r="L8" s="2" t="n"/>
      <c r="M8" s="2" t="n"/>
      <c r="N8" s="2" t="n"/>
      <c r="O8" s="2" t="n"/>
      <c r="P8" s="6" t="n"/>
    </row>
    <row r="9" ht="58" customHeight="1">
      <c r="A9" s="7">
        <f>IF(C9="","","XY"&amp;TEXT(ROW()-1,"000"))</f>
        <v/>
      </c>
      <c r="B9" s="3" t="inlineStr">
        <is>
          <t>粘贴小图</t>
        </is>
      </c>
      <c r="C9" s="7" t="n"/>
      <c r="D9" s="7" t="n"/>
      <c r="E9" s="7" t="n"/>
      <c r="F9" s="7" t="n"/>
      <c r="G9" s="8" t="n"/>
      <c r="H9" s="8" t="n"/>
      <c r="I9" s="8">
        <f>IF(OR(G9="",H9=""),"",H9-G9)</f>
        <v/>
      </c>
      <c r="J9" s="9">
        <f>IF(OR(H9="",I9=""),"",I9/H9)</f>
        <v/>
      </c>
      <c r="K9" s="7" t="n"/>
      <c r="L9" s="7" t="n"/>
      <c r="M9" s="7" t="n"/>
      <c r="N9" s="7" t="n"/>
      <c r="O9" s="7" t="n"/>
      <c r="P9" s="10" t="n"/>
    </row>
    <row r="10" ht="58" customHeight="1">
      <c r="A10" s="2">
        <f>IF(C10="","","XY"&amp;TEXT(ROW()-1,"000"))</f>
        <v/>
      </c>
      <c r="B10" s="3" t="inlineStr">
        <is>
          <t>粘贴小图</t>
        </is>
      </c>
      <c r="C10" s="2" t="n"/>
      <c r="D10" s="2" t="n"/>
      <c r="E10" s="2" t="n"/>
      <c r="F10" s="2" t="n"/>
      <c r="G10" s="4" t="n"/>
      <c r="H10" s="4" t="n"/>
      <c r="I10" s="4">
        <f>IF(OR(G10="",H10=""),"",H10-G10)</f>
        <v/>
      </c>
      <c r="J10" s="5">
        <f>IF(OR(H10="",I10=""),"",I10/H10)</f>
        <v/>
      </c>
      <c r="K10" s="2" t="n"/>
      <c r="L10" s="2" t="n"/>
      <c r="M10" s="2" t="n"/>
      <c r="N10" s="2" t="n"/>
      <c r="O10" s="2" t="n"/>
      <c r="P10" s="6" t="n"/>
    </row>
    <row r="11" ht="58" customHeight="1">
      <c r="A11" s="7">
        <f>IF(C11="","","XY"&amp;TEXT(ROW()-1,"000"))</f>
        <v/>
      </c>
      <c r="B11" s="3" t="inlineStr">
        <is>
          <t>粘贴小图</t>
        </is>
      </c>
      <c r="C11" s="7" t="n"/>
      <c r="D11" s="7" t="n"/>
      <c r="E11" s="7" t="n"/>
      <c r="F11" s="7" t="n"/>
      <c r="G11" s="8" t="n"/>
      <c r="H11" s="8" t="n"/>
      <c r="I11" s="8">
        <f>IF(OR(G11="",H11=""),"",H11-G11)</f>
        <v/>
      </c>
      <c r="J11" s="9">
        <f>IF(OR(H11="",I11=""),"",I11/H11)</f>
        <v/>
      </c>
      <c r="K11" s="7" t="n"/>
      <c r="L11" s="7" t="n"/>
      <c r="M11" s="7" t="n"/>
      <c r="N11" s="7" t="n"/>
      <c r="O11" s="7" t="n"/>
      <c r="P11" s="10" t="n"/>
    </row>
    <row r="12" ht="58" customHeight="1">
      <c r="A12" s="2">
        <f>IF(C12="","","XY"&amp;TEXT(ROW()-1,"000"))</f>
        <v/>
      </c>
      <c r="B12" s="3" t="inlineStr">
        <is>
          <t>粘贴小图</t>
        </is>
      </c>
      <c r="C12" s="2" t="n"/>
      <c r="D12" s="2" t="n"/>
      <c r="E12" s="2" t="n"/>
      <c r="F12" s="2" t="n"/>
      <c r="G12" s="4" t="n"/>
      <c r="H12" s="4" t="n"/>
      <c r="I12" s="4">
        <f>IF(OR(G12="",H12=""),"",H12-G12)</f>
        <v/>
      </c>
      <c r="J12" s="5">
        <f>IF(OR(H12="",I12=""),"",I12/H12)</f>
        <v/>
      </c>
      <c r="K12" s="2" t="n"/>
      <c r="L12" s="2" t="n"/>
      <c r="M12" s="2" t="n"/>
      <c r="N12" s="2" t="n"/>
      <c r="O12" s="2" t="n"/>
      <c r="P12" s="6" t="n"/>
    </row>
    <row r="13" ht="58" customHeight="1">
      <c r="A13" s="7">
        <f>IF(C13="","","XY"&amp;TEXT(ROW()-1,"000"))</f>
        <v/>
      </c>
      <c r="B13" s="3" t="inlineStr">
        <is>
          <t>粘贴小图</t>
        </is>
      </c>
      <c r="C13" s="7" t="n"/>
      <c r="D13" s="7" t="n"/>
      <c r="E13" s="7" t="n"/>
      <c r="F13" s="7" t="n"/>
      <c r="G13" s="8" t="n"/>
      <c r="H13" s="8" t="n"/>
      <c r="I13" s="8">
        <f>IF(OR(G13="",H13=""),"",H13-G13)</f>
        <v/>
      </c>
      <c r="J13" s="9">
        <f>IF(OR(H13="",I13=""),"",I13/H13)</f>
        <v/>
      </c>
      <c r="K13" s="7" t="n"/>
      <c r="L13" s="7" t="n"/>
      <c r="M13" s="7" t="n"/>
      <c r="N13" s="7" t="n"/>
      <c r="O13" s="7" t="n"/>
      <c r="P13" s="10" t="n"/>
    </row>
    <row r="14" ht="58" customHeight="1">
      <c r="A14" s="2">
        <f>IF(C14="","","XY"&amp;TEXT(ROW()-1,"000"))</f>
        <v/>
      </c>
      <c r="B14" s="3" t="inlineStr">
        <is>
          <t>粘贴小图</t>
        </is>
      </c>
      <c r="C14" s="2" t="n"/>
      <c r="D14" s="2" t="n"/>
      <c r="E14" s="2" t="n"/>
      <c r="F14" s="2" t="n"/>
      <c r="G14" s="4" t="n"/>
      <c r="H14" s="4" t="n"/>
      <c r="I14" s="4">
        <f>IF(OR(G14="",H14=""),"",H14-G14)</f>
        <v/>
      </c>
      <c r="J14" s="5">
        <f>IF(OR(H14="",I14=""),"",I14/H14)</f>
        <v/>
      </c>
      <c r="K14" s="2" t="n"/>
      <c r="L14" s="2" t="n"/>
      <c r="M14" s="2" t="n"/>
      <c r="N14" s="2" t="n"/>
      <c r="O14" s="2" t="n"/>
      <c r="P14" s="6" t="n"/>
    </row>
    <row r="15" ht="58" customHeight="1">
      <c r="A15" s="7">
        <f>IF(C15="","","XY"&amp;TEXT(ROW()-1,"000"))</f>
        <v/>
      </c>
      <c r="B15" s="3" t="inlineStr">
        <is>
          <t>粘贴小图</t>
        </is>
      </c>
      <c r="C15" s="7" t="n"/>
      <c r="D15" s="7" t="n"/>
      <c r="E15" s="7" t="n"/>
      <c r="F15" s="7" t="n"/>
      <c r="G15" s="8" t="n"/>
      <c r="H15" s="8" t="n"/>
      <c r="I15" s="8">
        <f>IF(OR(G15="",H15=""),"",H15-G15)</f>
        <v/>
      </c>
      <c r="J15" s="9">
        <f>IF(OR(H15="",I15=""),"",I15/H15)</f>
        <v/>
      </c>
      <c r="K15" s="7" t="n"/>
      <c r="L15" s="7" t="n"/>
      <c r="M15" s="7" t="n"/>
      <c r="N15" s="7" t="n"/>
      <c r="O15" s="7" t="n"/>
      <c r="P15" s="10" t="n"/>
    </row>
    <row r="16" ht="58" customHeight="1">
      <c r="A16" s="2">
        <f>IF(C16="","","XY"&amp;TEXT(ROW()-1,"000"))</f>
        <v/>
      </c>
      <c r="B16" s="3" t="inlineStr">
        <is>
          <t>粘贴小图</t>
        </is>
      </c>
      <c r="C16" s="2" t="n"/>
      <c r="D16" s="2" t="n"/>
      <c r="E16" s="2" t="n"/>
      <c r="F16" s="2" t="n"/>
      <c r="G16" s="4" t="n"/>
      <c r="H16" s="4" t="n"/>
      <c r="I16" s="4">
        <f>IF(OR(G16="",H16=""),"",H16-G16)</f>
        <v/>
      </c>
      <c r="J16" s="5">
        <f>IF(OR(H16="",I16=""),"",I16/H16)</f>
        <v/>
      </c>
      <c r="K16" s="2" t="n"/>
      <c r="L16" s="2" t="n"/>
      <c r="M16" s="2" t="n"/>
      <c r="N16" s="2" t="n"/>
      <c r="O16" s="2" t="n"/>
      <c r="P16" s="6" t="n"/>
    </row>
    <row r="17" ht="58" customHeight="1">
      <c r="A17" s="7">
        <f>IF(C17="","","XY"&amp;TEXT(ROW()-1,"000"))</f>
        <v/>
      </c>
      <c r="B17" s="3" t="inlineStr">
        <is>
          <t>粘贴小图</t>
        </is>
      </c>
      <c r="C17" s="7" t="n"/>
      <c r="D17" s="7" t="n"/>
      <c r="E17" s="7" t="n"/>
      <c r="F17" s="7" t="n"/>
      <c r="G17" s="8" t="n"/>
      <c r="H17" s="8" t="n"/>
      <c r="I17" s="8">
        <f>IF(OR(G17="",H17=""),"",H17-G17)</f>
        <v/>
      </c>
      <c r="J17" s="9">
        <f>IF(OR(H17="",I17=""),"",I17/H17)</f>
        <v/>
      </c>
      <c r="K17" s="7" t="n"/>
      <c r="L17" s="7" t="n"/>
      <c r="M17" s="7" t="n"/>
      <c r="N17" s="7" t="n"/>
      <c r="O17" s="7" t="n"/>
      <c r="P17" s="10" t="n"/>
    </row>
    <row r="18" ht="58" customHeight="1">
      <c r="A18" s="2">
        <f>IF(C18="","","XY"&amp;TEXT(ROW()-1,"000"))</f>
        <v/>
      </c>
      <c r="B18" s="3" t="inlineStr">
        <is>
          <t>粘贴小图</t>
        </is>
      </c>
      <c r="C18" s="2" t="n"/>
      <c r="D18" s="2" t="n"/>
      <c r="E18" s="2" t="n"/>
      <c r="F18" s="2" t="n"/>
      <c r="G18" s="4" t="n"/>
      <c r="H18" s="4" t="n"/>
      <c r="I18" s="4">
        <f>IF(OR(G18="",H18=""),"",H18-G18)</f>
        <v/>
      </c>
      <c r="J18" s="5">
        <f>IF(OR(H18="",I18=""),"",I18/H18)</f>
        <v/>
      </c>
      <c r="K18" s="2" t="n"/>
      <c r="L18" s="2" t="n"/>
      <c r="M18" s="2" t="n"/>
      <c r="N18" s="2" t="n"/>
      <c r="O18" s="2" t="n"/>
      <c r="P18" s="6" t="n"/>
    </row>
    <row r="19" ht="58" customHeight="1">
      <c r="A19" s="7">
        <f>IF(C19="","","XY"&amp;TEXT(ROW()-1,"000"))</f>
        <v/>
      </c>
      <c r="B19" s="3" t="inlineStr">
        <is>
          <t>粘贴小图</t>
        </is>
      </c>
      <c r="C19" s="7" t="n"/>
      <c r="D19" s="7" t="n"/>
      <c r="E19" s="7" t="n"/>
      <c r="F19" s="7" t="n"/>
      <c r="G19" s="8" t="n"/>
      <c r="H19" s="8" t="n"/>
      <c r="I19" s="8">
        <f>IF(OR(G19="",H19=""),"",H19-G19)</f>
        <v/>
      </c>
      <c r="J19" s="9">
        <f>IF(OR(H19="",I19=""),"",I19/H19)</f>
        <v/>
      </c>
      <c r="K19" s="7" t="n"/>
      <c r="L19" s="7" t="n"/>
      <c r="M19" s="7" t="n"/>
      <c r="N19" s="7" t="n"/>
      <c r="O19" s="7" t="n"/>
      <c r="P19" s="10" t="n"/>
    </row>
    <row r="20" ht="58" customHeight="1">
      <c r="A20" s="2">
        <f>IF(C20="","","XY"&amp;TEXT(ROW()-1,"000"))</f>
        <v/>
      </c>
      <c r="B20" s="3" t="inlineStr">
        <is>
          <t>粘贴小图</t>
        </is>
      </c>
      <c r="C20" s="2" t="n"/>
      <c r="D20" s="2" t="n"/>
      <c r="E20" s="2" t="n"/>
      <c r="F20" s="2" t="n"/>
      <c r="G20" s="4" t="n"/>
      <c r="H20" s="4" t="n"/>
      <c r="I20" s="4">
        <f>IF(OR(G20="",H20=""),"",H20-G20)</f>
        <v/>
      </c>
      <c r="J20" s="5">
        <f>IF(OR(H20="",I20=""),"",I20/H20)</f>
        <v/>
      </c>
      <c r="K20" s="2" t="n"/>
      <c r="L20" s="2" t="n"/>
      <c r="M20" s="2" t="n"/>
      <c r="N20" s="2" t="n"/>
      <c r="O20" s="2" t="n"/>
      <c r="P20" s="6" t="n"/>
    </row>
    <row r="21" ht="58" customHeight="1">
      <c r="A21" s="7">
        <f>IF(C21="","","XY"&amp;TEXT(ROW()-1,"000"))</f>
        <v/>
      </c>
      <c r="B21" s="3" t="inlineStr">
        <is>
          <t>粘贴小图</t>
        </is>
      </c>
      <c r="C21" s="7" t="n"/>
      <c r="D21" s="7" t="n"/>
      <c r="E21" s="7" t="n"/>
      <c r="F21" s="7" t="n"/>
      <c r="G21" s="8" t="n"/>
      <c r="H21" s="8" t="n"/>
      <c r="I21" s="8">
        <f>IF(OR(G21="",H21=""),"",H21-G21)</f>
        <v/>
      </c>
      <c r="J21" s="9">
        <f>IF(OR(H21="",I21=""),"",I21/H21)</f>
        <v/>
      </c>
      <c r="K21" s="7" t="n"/>
      <c r="L21" s="7" t="n"/>
      <c r="M21" s="7" t="n"/>
      <c r="N21" s="7" t="n"/>
      <c r="O21" s="7" t="n"/>
      <c r="P21" s="10" t="n"/>
    </row>
    <row r="22" ht="58" customHeight="1">
      <c r="A22" s="2">
        <f>IF(C22="","","XY"&amp;TEXT(ROW()-1,"000"))</f>
        <v/>
      </c>
      <c r="B22" s="3" t="inlineStr">
        <is>
          <t>粘贴小图</t>
        </is>
      </c>
      <c r="C22" s="2" t="n"/>
      <c r="D22" s="2" t="n"/>
      <c r="E22" s="2" t="n"/>
      <c r="F22" s="2" t="n"/>
      <c r="G22" s="4" t="n"/>
      <c r="H22" s="4" t="n"/>
      <c r="I22" s="4">
        <f>IF(OR(G22="",H22=""),"",H22-G22)</f>
        <v/>
      </c>
      <c r="J22" s="5">
        <f>IF(OR(H22="",I22=""),"",I22/H22)</f>
        <v/>
      </c>
      <c r="K22" s="2" t="n"/>
      <c r="L22" s="2" t="n"/>
      <c r="M22" s="2" t="n"/>
      <c r="N22" s="2" t="n"/>
      <c r="O22" s="2" t="n"/>
      <c r="P22" s="6" t="n"/>
    </row>
    <row r="23" ht="58" customHeight="1">
      <c r="A23" s="7">
        <f>IF(C23="","","XY"&amp;TEXT(ROW()-1,"000"))</f>
        <v/>
      </c>
      <c r="B23" s="3" t="inlineStr">
        <is>
          <t>粘贴小图</t>
        </is>
      </c>
      <c r="C23" s="7" t="n"/>
      <c r="D23" s="7" t="n"/>
      <c r="E23" s="7" t="n"/>
      <c r="F23" s="7" t="n"/>
      <c r="G23" s="8" t="n"/>
      <c r="H23" s="8" t="n"/>
      <c r="I23" s="8">
        <f>IF(OR(G23="",H23=""),"",H23-G23)</f>
        <v/>
      </c>
      <c r="J23" s="9">
        <f>IF(OR(H23="",I23=""),"",I23/H23)</f>
        <v/>
      </c>
      <c r="K23" s="7" t="n"/>
      <c r="L23" s="7" t="n"/>
      <c r="M23" s="7" t="n"/>
      <c r="N23" s="7" t="n"/>
      <c r="O23" s="7" t="n"/>
      <c r="P23" s="10" t="n"/>
    </row>
    <row r="24" ht="58" customHeight="1">
      <c r="A24" s="2">
        <f>IF(C24="","","XY"&amp;TEXT(ROW()-1,"000"))</f>
        <v/>
      </c>
      <c r="B24" s="3" t="inlineStr">
        <is>
          <t>粘贴小图</t>
        </is>
      </c>
      <c r="C24" s="2" t="n"/>
      <c r="D24" s="2" t="n"/>
      <c r="E24" s="2" t="n"/>
      <c r="F24" s="2" t="n"/>
      <c r="G24" s="4" t="n"/>
      <c r="H24" s="4" t="n"/>
      <c r="I24" s="4">
        <f>IF(OR(G24="",H24=""),"",H24-G24)</f>
        <v/>
      </c>
      <c r="J24" s="5">
        <f>IF(OR(H24="",I24=""),"",I24/H24)</f>
        <v/>
      </c>
      <c r="K24" s="2" t="n"/>
      <c r="L24" s="2" t="n"/>
      <c r="M24" s="2" t="n"/>
      <c r="N24" s="2" t="n"/>
      <c r="O24" s="2" t="n"/>
      <c r="P24" s="6" t="n"/>
    </row>
    <row r="25" ht="58" customHeight="1">
      <c r="A25" s="7">
        <f>IF(C25="","","XY"&amp;TEXT(ROW()-1,"000"))</f>
        <v/>
      </c>
      <c r="B25" s="3" t="inlineStr">
        <is>
          <t>粘贴小图</t>
        </is>
      </c>
      <c r="C25" s="7" t="n"/>
      <c r="D25" s="7" t="n"/>
      <c r="E25" s="7" t="n"/>
      <c r="F25" s="7" t="n"/>
      <c r="G25" s="8" t="n"/>
      <c r="H25" s="8" t="n"/>
      <c r="I25" s="8">
        <f>IF(OR(G25="",H25=""),"",H25-G25)</f>
        <v/>
      </c>
      <c r="J25" s="9">
        <f>IF(OR(H25="",I25=""),"",I25/H25)</f>
        <v/>
      </c>
      <c r="K25" s="7" t="n"/>
      <c r="L25" s="7" t="n"/>
      <c r="M25" s="7" t="n"/>
      <c r="N25" s="7" t="n"/>
      <c r="O25" s="7" t="n"/>
      <c r="P25" s="10" t="n"/>
    </row>
    <row r="26" ht="58" customHeight="1">
      <c r="A26" s="2">
        <f>IF(C26="","","XY"&amp;TEXT(ROW()-1,"000"))</f>
        <v/>
      </c>
      <c r="B26" s="3" t="inlineStr">
        <is>
          <t>粘贴小图</t>
        </is>
      </c>
      <c r="C26" s="2" t="n"/>
      <c r="D26" s="2" t="n"/>
      <c r="E26" s="2" t="n"/>
      <c r="F26" s="2" t="n"/>
      <c r="G26" s="4" t="n"/>
      <c r="H26" s="4" t="n"/>
      <c r="I26" s="4">
        <f>IF(OR(G26="",H26=""),"",H26-G26)</f>
        <v/>
      </c>
      <c r="J26" s="5">
        <f>IF(OR(H26="",I26=""),"",I26/H26)</f>
        <v/>
      </c>
      <c r="K26" s="2" t="n"/>
      <c r="L26" s="2" t="n"/>
      <c r="M26" s="2" t="n"/>
      <c r="N26" s="2" t="n"/>
      <c r="O26" s="2" t="n"/>
      <c r="P26" s="6" t="n"/>
    </row>
    <row r="27" ht="58" customHeight="1">
      <c r="A27" s="7">
        <f>IF(C27="","","XY"&amp;TEXT(ROW()-1,"000"))</f>
        <v/>
      </c>
      <c r="B27" s="3" t="inlineStr">
        <is>
          <t>粘贴小图</t>
        </is>
      </c>
      <c r="C27" s="7" t="n"/>
      <c r="D27" s="7" t="n"/>
      <c r="E27" s="7" t="n"/>
      <c r="F27" s="7" t="n"/>
      <c r="G27" s="8" t="n"/>
      <c r="H27" s="8" t="n"/>
      <c r="I27" s="8">
        <f>IF(OR(G27="",H27=""),"",H27-G27)</f>
        <v/>
      </c>
      <c r="J27" s="9">
        <f>IF(OR(H27="",I27=""),"",I27/H27)</f>
        <v/>
      </c>
      <c r="K27" s="7" t="n"/>
      <c r="L27" s="7" t="n"/>
      <c r="M27" s="7" t="n"/>
      <c r="N27" s="7" t="n"/>
      <c r="O27" s="7" t="n"/>
      <c r="P27" s="10" t="n"/>
    </row>
    <row r="28" ht="58" customHeight="1">
      <c r="A28" s="2">
        <f>IF(C28="","","XY"&amp;TEXT(ROW()-1,"000"))</f>
        <v/>
      </c>
      <c r="B28" s="3" t="inlineStr">
        <is>
          <t>粘贴小图</t>
        </is>
      </c>
      <c r="C28" s="2" t="n"/>
      <c r="D28" s="2" t="n"/>
      <c r="E28" s="2" t="n"/>
      <c r="F28" s="2" t="n"/>
      <c r="G28" s="4" t="n"/>
      <c r="H28" s="4" t="n"/>
      <c r="I28" s="4">
        <f>IF(OR(G28="",H28=""),"",H28-G28)</f>
        <v/>
      </c>
      <c r="J28" s="5">
        <f>IF(OR(H28="",I28=""),"",I28/H28)</f>
        <v/>
      </c>
      <c r="K28" s="2" t="n"/>
      <c r="L28" s="2" t="n"/>
      <c r="M28" s="2" t="n"/>
      <c r="N28" s="2" t="n"/>
      <c r="O28" s="2" t="n"/>
      <c r="P28" s="6" t="n"/>
    </row>
    <row r="29" ht="58" customHeight="1">
      <c r="A29" s="7">
        <f>IF(C29="","","XY"&amp;TEXT(ROW()-1,"000"))</f>
        <v/>
      </c>
      <c r="B29" s="3" t="inlineStr">
        <is>
          <t>粘贴小图</t>
        </is>
      </c>
      <c r="C29" s="7" t="n"/>
      <c r="D29" s="7" t="n"/>
      <c r="E29" s="7" t="n"/>
      <c r="F29" s="7" t="n"/>
      <c r="G29" s="8" t="n"/>
      <c r="H29" s="8" t="n"/>
      <c r="I29" s="8">
        <f>IF(OR(G29="",H29=""),"",H29-G29)</f>
        <v/>
      </c>
      <c r="J29" s="9">
        <f>IF(OR(H29="",I29=""),"",I29/H29)</f>
        <v/>
      </c>
      <c r="K29" s="7" t="n"/>
      <c r="L29" s="7" t="n"/>
      <c r="M29" s="7" t="n"/>
      <c r="N29" s="7" t="n"/>
      <c r="O29" s="7" t="n"/>
      <c r="P29" s="10" t="n"/>
    </row>
    <row r="30" ht="58" customHeight="1">
      <c r="A30" s="2">
        <f>IF(C30="","","XY"&amp;TEXT(ROW()-1,"000"))</f>
        <v/>
      </c>
      <c r="B30" s="3" t="inlineStr">
        <is>
          <t>粘贴小图</t>
        </is>
      </c>
      <c r="C30" s="2" t="n"/>
      <c r="D30" s="2" t="n"/>
      <c r="E30" s="2" t="n"/>
      <c r="F30" s="2" t="n"/>
      <c r="G30" s="4" t="n"/>
      <c r="H30" s="4" t="n"/>
      <c r="I30" s="4">
        <f>IF(OR(G30="",H30=""),"",H30-G30)</f>
        <v/>
      </c>
      <c r="J30" s="5">
        <f>IF(OR(H30="",I30=""),"",I30/H30)</f>
        <v/>
      </c>
      <c r="K30" s="2" t="n"/>
      <c r="L30" s="2" t="n"/>
      <c r="M30" s="2" t="n"/>
      <c r="N30" s="2" t="n"/>
      <c r="O30" s="2" t="n"/>
      <c r="P30" s="6" t="n"/>
    </row>
    <row r="31" ht="58" customHeight="1">
      <c r="A31" s="7">
        <f>IF(C31="","","XY"&amp;TEXT(ROW()-1,"000"))</f>
        <v/>
      </c>
      <c r="B31" s="3" t="inlineStr">
        <is>
          <t>粘贴小图</t>
        </is>
      </c>
      <c r="C31" s="7" t="n"/>
      <c r="D31" s="7" t="n"/>
      <c r="E31" s="7" t="n"/>
      <c r="F31" s="7" t="n"/>
      <c r="G31" s="8" t="n"/>
      <c r="H31" s="8" t="n"/>
      <c r="I31" s="8">
        <f>IF(OR(G31="",H31=""),"",H31-G31)</f>
        <v/>
      </c>
      <c r="J31" s="9">
        <f>IF(OR(H31="",I31=""),"",I31/H31)</f>
        <v/>
      </c>
      <c r="K31" s="7" t="n"/>
      <c r="L31" s="7" t="n"/>
      <c r="M31" s="7" t="n"/>
      <c r="N31" s="7" t="n"/>
      <c r="O31" s="7" t="n"/>
      <c r="P31" s="10" t="n"/>
    </row>
    <row r="32" ht="58" customHeight="1">
      <c r="A32" s="2">
        <f>IF(C32="","","XY"&amp;TEXT(ROW()-1,"000"))</f>
        <v/>
      </c>
      <c r="B32" s="3" t="inlineStr">
        <is>
          <t>粘贴小图</t>
        </is>
      </c>
      <c r="C32" s="2" t="n"/>
      <c r="D32" s="2" t="n"/>
      <c r="E32" s="2" t="n"/>
      <c r="F32" s="2" t="n"/>
      <c r="G32" s="4" t="n"/>
      <c r="H32" s="4" t="n"/>
      <c r="I32" s="4">
        <f>IF(OR(G32="",H32=""),"",H32-G32)</f>
        <v/>
      </c>
      <c r="J32" s="5">
        <f>IF(OR(H32="",I32=""),"",I32/H32)</f>
        <v/>
      </c>
      <c r="K32" s="2" t="n"/>
      <c r="L32" s="2" t="n"/>
      <c r="M32" s="2" t="n"/>
      <c r="N32" s="2" t="n"/>
      <c r="O32" s="2" t="n"/>
      <c r="P32" s="6" t="n"/>
    </row>
    <row r="33" ht="58" customHeight="1">
      <c r="A33" s="7">
        <f>IF(C33="","","XY"&amp;TEXT(ROW()-1,"000"))</f>
        <v/>
      </c>
      <c r="B33" s="3" t="inlineStr">
        <is>
          <t>粘贴小图</t>
        </is>
      </c>
      <c r="C33" s="7" t="n"/>
      <c r="D33" s="7" t="n"/>
      <c r="E33" s="7" t="n"/>
      <c r="F33" s="7" t="n"/>
      <c r="G33" s="8" t="n"/>
      <c r="H33" s="8" t="n"/>
      <c r="I33" s="8">
        <f>IF(OR(G33="",H33=""),"",H33-G33)</f>
        <v/>
      </c>
      <c r="J33" s="9">
        <f>IF(OR(H33="",I33=""),"",I33/H33)</f>
        <v/>
      </c>
      <c r="K33" s="7" t="n"/>
      <c r="L33" s="7" t="n"/>
      <c r="M33" s="7" t="n"/>
      <c r="N33" s="7" t="n"/>
      <c r="O33" s="7" t="n"/>
      <c r="P33" s="10" t="n"/>
    </row>
    <row r="34" ht="58" customHeight="1">
      <c r="A34" s="2">
        <f>IF(C34="","","XY"&amp;TEXT(ROW()-1,"000"))</f>
        <v/>
      </c>
      <c r="B34" s="3" t="inlineStr">
        <is>
          <t>粘贴小图</t>
        </is>
      </c>
      <c r="C34" s="2" t="n"/>
      <c r="D34" s="2" t="n"/>
      <c r="E34" s="2" t="n"/>
      <c r="F34" s="2" t="n"/>
      <c r="G34" s="4" t="n"/>
      <c r="H34" s="4" t="n"/>
      <c r="I34" s="4">
        <f>IF(OR(G34="",H34=""),"",H34-G34)</f>
        <v/>
      </c>
      <c r="J34" s="5">
        <f>IF(OR(H34="",I34=""),"",I34/H34)</f>
        <v/>
      </c>
      <c r="K34" s="2" t="n"/>
      <c r="L34" s="2" t="n"/>
      <c r="M34" s="2" t="n"/>
      <c r="N34" s="2" t="n"/>
      <c r="O34" s="2" t="n"/>
      <c r="P34" s="6" t="n"/>
    </row>
    <row r="35" ht="58" customHeight="1">
      <c r="A35" s="7">
        <f>IF(C35="","","XY"&amp;TEXT(ROW()-1,"000"))</f>
        <v/>
      </c>
      <c r="B35" s="3" t="inlineStr">
        <is>
          <t>粘贴小图</t>
        </is>
      </c>
      <c r="C35" s="7" t="n"/>
      <c r="D35" s="7" t="n"/>
      <c r="E35" s="7" t="n"/>
      <c r="F35" s="7" t="n"/>
      <c r="G35" s="8" t="n"/>
      <c r="H35" s="8" t="n"/>
      <c r="I35" s="8">
        <f>IF(OR(G35="",H35=""),"",H35-G35)</f>
        <v/>
      </c>
      <c r="J35" s="9">
        <f>IF(OR(H35="",I35=""),"",I35/H35)</f>
        <v/>
      </c>
      <c r="K35" s="7" t="n"/>
      <c r="L35" s="7" t="n"/>
      <c r="M35" s="7" t="n"/>
      <c r="N35" s="7" t="n"/>
      <c r="O35" s="7" t="n"/>
      <c r="P35" s="10" t="n"/>
    </row>
    <row r="36" ht="58" customHeight="1">
      <c r="A36" s="2">
        <f>IF(C36="","","XY"&amp;TEXT(ROW()-1,"000"))</f>
        <v/>
      </c>
      <c r="B36" s="3" t="inlineStr">
        <is>
          <t>粘贴小图</t>
        </is>
      </c>
      <c r="C36" s="2" t="n"/>
      <c r="D36" s="2" t="n"/>
      <c r="E36" s="2" t="n"/>
      <c r="F36" s="2" t="n"/>
      <c r="G36" s="4" t="n"/>
      <c r="H36" s="4" t="n"/>
      <c r="I36" s="4">
        <f>IF(OR(G36="",H36=""),"",H36-G36)</f>
        <v/>
      </c>
      <c r="J36" s="5">
        <f>IF(OR(H36="",I36=""),"",I36/H36)</f>
        <v/>
      </c>
      <c r="K36" s="2" t="n"/>
      <c r="L36" s="2" t="n"/>
      <c r="M36" s="2" t="n"/>
      <c r="N36" s="2" t="n"/>
      <c r="O36" s="2" t="n"/>
      <c r="P36" s="6" t="n"/>
    </row>
    <row r="37" ht="58" customHeight="1">
      <c r="A37" s="7">
        <f>IF(C37="","","XY"&amp;TEXT(ROW()-1,"000"))</f>
        <v/>
      </c>
      <c r="B37" s="3" t="inlineStr">
        <is>
          <t>粘贴小图</t>
        </is>
      </c>
      <c r="C37" s="7" t="n"/>
      <c r="D37" s="7" t="n"/>
      <c r="E37" s="7" t="n"/>
      <c r="F37" s="7" t="n"/>
      <c r="G37" s="8" t="n"/>
      <c r="H37" s="8" t="n"/>
      <c r="I37" s="8">
        <f>IF(OR(G37="",H37=""),"",H37-G37)</f>
        <v/>
      </c>
      <c r="J37" s="9">
        <f>IF(OR(H37="",I37=""),"",I37/H37)</f>
        <v/>
      </c>
      <c r="K37" s="7" t="n"/>
      <c r="L37" s="7" t="n"/>
      <c r="M37" s="7" t="n"/>
      <c r="N37" s="7" t="n"/>
      <c r="O37" s="7" t="n"/>
      <c r="P37" s="10" t="n"/>
    </row>
    <row r="38" ht="58" customHeight="1">
      <c r="A38" s="2">
        <f>IF(C38="","","XY"&amp;TEXT(ROW()-1,"000"))</f>
        <v/>
      </c>
      <c r="B38" s="3" t="inlineStr">
        <is>
          <t>粘贴小图</t>
        </is>
      </c>
      <c r="C38" s="2" t="n"/>
      <c r="D38" s="2" t="n"/>
      <c r="E38" s="2" t="n"/>
      <c r="F38" s="2" t="n"/>
      <c r="G38" s="4" t="n"/>
      <c r="H38" s="4" t="n"/>
      <c r="I38" s="4">
        <f>IF(OR(G38="",H38=""),"",H38-G38)</f>
        <v/>
      </c>
      <c r="J38" s="5">
        <f>IF(OR(H38="",I38=""),"",I38/H38)</f>
        <v/>
      </c>
      <c r="K38" s="2" t="n"/>
      <c r="L38" s="2" t="n"/>
      <c r="M38" s="2" t="n"/>
      <c r="N38" s="2" t="n"/>
      <c r="O38" s="2" t="n"/>
      <c r="P38" s="6" t="n"/>
    </row>
    <row r="39" ht="58" customHeight="1">
      <c r="A39" s="7">
        <f>IF(C39="","","XY"&amp;TEXT(ROW()-1,"000"))</f>
        <v/>
      </c>
      <c r="B39" s="3" t="inlineStr">
        <is>
          <t>粘贴小图</t>
        </is>
      </c>
      <c r="C39" s="7" t="n"/>
      <c r="D39" s="7" t="n"/>
      <c r="E39" s="7" t="n"/>
      <c r="F39" s="7" t="n"/>
      <c r="G39" s="8" t="n"/>
      <c r="H39" s="8" t="n"/>
      <c r="I39" s="8">
        <f>IF(OR(G39="",H39=""),"",H39-G39)</f>
        <v/>
      </c>
      <c r="J39" s="9">
        <f>IF(OR(H39="",I39=""),"",I39/H39)</f>
        <v/>
      </c>
      <c r="K39" s="7" t="n"/>
      <c r="L39" s="7" t="n"/>
      <c r="M39" s="7" t="n"/>
      <c r="N39" s="7" t="n"/>
      <c r="O39" s="7" t="n"/>
      <c r="P39" s="10" t="n"/>
    </row>
    <row r="40" ht="58" customHeight="1">
      <c r="A40" s="2">
        <f>IF(C40="","","XY"&amp;TEXT(ROW()-1,"000"))</f>
        <v/>
      </c>
      <c r="B40" s="3" t="inlineStr">
        <is>
          <t>粘贴小图</t>
        </is>
      </c>
      <c r="C40" s="2" t="n"/>
      <c r="D40" s="2" t="n"/>
      <c r="E40" s="2" t="n"/>
      <c r="F40" s="2" t="n"/>
      <c r="G40" s="4" t="n"/>
      <c r="H40" s="4" t="n"/>
      <c r="I40" s="4">
        <f>IF(OR(G40="",H40=""),"",H40-G40)</f>
        <v/>
      </c>
      <c r="J40" s="5">
        <f>IF(OR(H40="",I40=""),"",I40/H40)</f>
        <v/>
      </c>
      <c r="K40" s="2" t="n"/>
      <c r="L40" s="2" t="n"/>
      <c r="M40" s="2" t="n"/>
      <c r="N40" s="2" t="n"/>
      <c r="O40" s="2" t="n"/>
      <c r="P40" s="6" t="n"/>
    </row>
    <row r="41" ht="58" customHeight="1">
      <c r="A41" s="7">
        <f>IF(C41="","","XY"&amp;TEXT(ROW()-1,"000"))</f>
        <v/>
      </c>
      <c r="B41" s="3" t="inlineStr">
        <is>
          <t>粘贴小图</t>
        </is>
      </c>
      <c r="C41" s="7" t="n"/>
      <c r="D41" s="7" t="n"/>
      <c r="E41" s="7" t="n"/>
      <c r="F41" s="7" t="n"/>
      <c r="G41" s="8" t="n"/>
      <c r="H41" s="8" t="n"/>
      <c r="I41" s="8">
        <f>IF(OR(G41="",H41=""),"",H41-G41)</f>
        <v/>
      </c>
      <c r="J41" s="9">
        <f>IF(OR(H41="",I41=""),"",I41/H41)</f>
        <v/>
      </c>
      <c r="K41" s="7" t="n"/>
      <c r="L41" s="7" t="n"/>
      <c r="M41" s="7" t="n"/>
      <c r="N41" s="7" t="n"/>
      <c r="O41" s="7" t="n"/>
      <c r="P41" s="10" t="n"/>
    </row>
    <row r="42" ht="58" customHeight="1">
      <c r="A42" s="2">
        <f>IF(C42="","","XY"&amp;TEXT(ROW()-1,"000"))</f>
        <v/>
      </c>
      <c r="B42" s="3" t="inlineStr">
        <is>
          <t>粘贴小图</t>
        </is>
      </c>
      <c r="C42" s="2" t="n"/>
      <c r="D42" s="2" t="n"/>
      <c r="E42" s="2" t="n"/>
      <c r="F42" s="2" t="n"/>
      <c r="G42" s="4" t="n"/>
      <c r="H42" s="4" t="n"/>
      <c r="I42" s="4">
        <f>IF(OR(G42="",H42=""),"",H42-G42)</f>
        <v/>
      </c>
      <c r="J42" s="5">
        <f>IF(OR(H42="",I42=""),"",I42/H42)</f>
        <v/>
      </c>
      <c r="K42" s="2" t="n"/>
      <c r="L42" s="2" t="n"/>
      <c r="M42" s="2" t="n"/>
      <c r="N42" s="2" t="n"/>
      <c r="O42" s="2" t="n"/>
      <c r="P42" s="6" t="n"/>
    </row>
    <row r="43" ht="58" customHeight="1">
      <c r="A43" s="7">
        <f>IF(C43="","","XY"&amp;TEXT(ROW()-1,"000"))</f>
        <v/>
      </c>
      <c r="B43" s="3" t="inlineStr">
        <is>
          <t>粘贴小图</t>
        </is>
      </c>
      <c r="C43" s="7" t="n"/>
      <c r="D43" s="7" t="n"/>
      <c r="E43" s="7" t="n"/>
      <c r="F43" s="7" t="n"/>
      <c r="G43" s="8" t="n"/>
      <c r="H43" s="8" t="n"/>
      <c r="I43" s="8">
        <f>IF(OR(G43="",H43=""),"",H43-G43)</f>
        <v/>
      </c>
      <c r="J43" s="9">
        <f>IF(OR(H43="",I43=""),"",I43/H43)</f>
        <v/>
      </c>
      <c r="K43" s="7" t="n"/>
      <c r="L43" s="7" t="n"/>
      <c r="M43" s="7" t="n"/>
      <c r="N43" s="7" t="n"/>
      <c r="O43" s="7" t="n"/>
      <c r="P43" s="10" t="n"/>
    </row>
    <row r="44" ht="58" customHeight="1">
      <c r="A44" s="2">
        <f>IF(C44="","","XY"&amp;TEXT(ROW()-1,"000"))</f>
        <v/>
      </c>
      <c r="B44" s="3" t="inlineStr">
        <is>
          <t>粘贴小图</t>
        </is>
      </c>
      <c r="C44" s="2" t="n"/>
      <c r="D44" s="2" t="n"/>
      <c r="E44" s="2" t="n"/>
      <c r="F44" s="2" t="n"/>
      <c r="G44" s="4" t="n"/>
      <c r="H44" s="4" t="n"/>
      <c r="I44" s="4">
        <f>IF(OR(G44="",H44=""),"",H44-G44)</f>
        <v/>
      </c>
      <c r="J44" s="5">
        <f>IF(OR(H44="",I44=""),"",I44/H44)</f>
        <v/>
      </c>
      <c r="K44" s="2" t="n"/>
      <c r="L44" s="2" t="n"/>
      <c r="M44" s="2" t="n"/>
      <c r="N44" s="2" t="n"/>
      <c r="O44" s="2" t="n"/>
      <c r="P44" s="6" t="n"/>
    </row>
    <row r="45" ht="58" customHeight="1">
      <c r="A45" s="7">
        <f>IF(C45="","","XY"&amp;TEXT(ROW()-1,"000"))</f>
        <v/>
      </c>
      <c r="B45" s="3" t="inlineStr">
        <is>
          <t>粘贴小图</t>
        </is>
      </c>
      <c r="C45" s="7" t="n"/>
      <c r="D45" s="7" t="n"/>
      <c r="E45" s="7" t="n"/>
      <c r="F45" s="7" t="n"/>
      <c r="G45" s="8" t="n"/>
      <c r="H45" s="8" t="n"/>
      <c r="I45" s="8">
        <f>IF(OR(G45="",H45=""),"",H45-G45)</f>
        <v/>
      </c>
      <c r="J45" s="9">
        <f>IF(OR(H45="",I45=""),"",I45/H45)</f>
        <v/>
      </c>
      <c r="K45" s="7" t="n"/>
      <c r="L45" s="7" t="n"/>
      <c r="M45" s="7" t="n"/>
      <c r="N45" s="7" t="n"/>
      <c r="O45" s="7" t="n"/>
      <c r="P45" s="10" t="n"/>
    </row>
    <row r="46" ht="58" customHeight="1">
      <c r="A46" s="2">
        <f>IF(C46="","","XY"&amp;TEXT(ROW()-1,"000"))</f>
        <v/>
      </c>
      <c r="B46" s="3" t="inlineStr">
        <is>
          <t>粘贴小图</t>
        </is>
      </c>
      <c r="C46" s="2" t="n"/>
      <c r="D46" s="2" t="n"/>
      <c r="E46" s="2" t="n"/>
      <c r="F46" s="2" t="n"/>
      <c r="G46" s="4" t="n"/>
      <c r="H46" s="4" t="n"/>
      <c r="I46" s="4">
        <f>IF(OR(G46="",H46=""),"",H46-G46)</f>
        <v/>
      </c>
      <c r="J46" s="5">
        <f>IF(OR(H46="",I46=""),"",I46/H46)</f>
        <v/>
      </c>
      <c r="K46" s="2" t="n"/>
      <c r="L46" s="2" t="n"/>
      <c r="M46" s="2" t="n"/>
      <c r="N46" s="2" t="n"/>
      <c r="O46" s="2" t="n"/>
      <c r="P46" s="6" t="n"/>
    </row>
    <row r="47" ht="58" customHeight="1">
      <c r="A47" s="7">
        <f>IF(C47="","","XY"&amp;TEXT(ROW()-1,"000"))</f>
        <v/>
      </c>
      <c r="B47" s="3" t="inlineStr">
        <is>
          <t>粘贴小图</t>
        </is>
      </c>
      <c r="C47" s="7" t="n"/>
      <c r="D47" s="7" t="n"/>
      <c r="E47" s="7" t="n"/>
      <c r="F47" s="7" t="n"/>
      <c r="G47" s="8" t="n"/>
      <c r="H47" s="8" t="n"/>
      <c r="I47" s="8">
        <f>IF(OR(G47="",H47=""),"",H47-G47)</f>
        <v/>
      </c>
      <c r="J47" s="9">
        <f>IF(OR(H47="",I47=""),"",I47/H47)</f>
        <v/>
      </c>
      <c r="K47" s="7" t="n"/>
      <c r="L47" s="7" t="n"/>
      <c r="M47" s="7" t="n"/>
      <c r="N47" s="7" t="n"/>
      <c r="O47" s="7" t="n"/>
      <c r="P47" s="10" t="n"/>
    </row>
    <row r="48" ht="58" customHeight="1">
      <c r="A48" s="2">
        <f>IF(C48="","","XY"&amp;TEXT(ROW()-1,"000"))</f>
        <v/>
      </c>
      <c r="B48" s="3" t="inlineStr">
        <is>
          <t>粘贴小图</t>
        </is>
      </c>
      <c r="C48" s="2" t="n"/>
      <c r="D48" s="2" t="n"/>
      <c r="E48" s="2" t="n"/>
      <c r="F48" s="2" t="n"/>
      <c r="G48" s="4" t="n"/>
      <c r="H48" s="4" t="n"/>
      <c r="I48" s="4">
        <f>IF(OR(G48="",H48=""),"",H48-G48)</f>
        <v/>
      </c>
      <c r="J48" s="5">
        <f>IF(OR(H48="",I48=""),"",I48/H48)</f>
        <v/>
      </c>
      <c r="K48" s="2" t="n"/>
      <c r="L48" s="2" t="n"/>
      <c r="M48" s="2" t="n"/>
      <c r="N48" s="2" t="n"/>
      <c r="O48" s="2" t="n"/>
      <c r="P48" s="6" t="n"/>
    </row>
    <row r="49" ht="58" customHeight="1">
      <c r="A49" s="7">
        <f>IF(C49="","","XY"&amp;TEXT(ROW()-1,"000"))</f>
        <v/>
      </c>
      <c r="B49" s="3" t="inlineStr">
        <is>
          <t>粘贴小图</t>
        </is>
      </c>
      <c r="C49" s="7" t="n"/>
      <c r="D49" s="7" t="n"/>
      <c r="E49" s="7" t="n"/>
      <c r="F49" s="7" t="n"/>
      <c r="G49" s="8" t="n"/>
      <c r="H49" s="8" t="n"/>
      <c r="I49" s="8">
        <f>IF(OR(G49="",H49=""),"",H49-G49)</f>
        <v/>
      </c>
      <c r="J49" s="9">
        <f>IF(OR(H49="",I49=""),"",I49/H49)</f>
        <v/>
      </c>
      <c r="K49" s="7" t="n"/>
      <c r="L49" s="7" t="n"/>
      <c r="M49" s="7" t="n"/>
      <c r="N49" s="7" t="n"/>
      <c r="O49" s="7" t="n"/>
      <c r="P49" s="10" t="n"/>
    </row>
    <row r="50" ht="58" customHeight="1">
      <c r="A50" s="2">
        <f>IF(C50="","","XY"&amp;TEXT(ROW()-1,"000"))</f>
        <v/>
      </c>
      <c r="B50" s="3" t="inlineStr">
        <is>
          <t>粘贴小图</t>
        </is>
      </c>
      <c r="C50" s="2" t="n"/>
      <c r="D50" s="2" t="n"/>
      <c r="E50" s="2" t="n"/>
      <c r="F50" s="2" t="n"/>
      <c r="G50" s="4" t="n"/>
      <c r="H50" s="4" t="n"/>
      <c r="I50" s="4">
        <f>IF(OR(G50="",H50=""),"",H50-G50)</f>
        <v/>
      </c>
      <c r="J50" s="5">
        <f>IF(OR(H50="",I50=""),"",I50/H50)</f>
        <v/>
      </c>
      <c r="K50" s="2" t="n"/>
      <c r="L50" s="2" t="n"/>
      <c r="M50" s="2" t="n"/>
      <c r="N50" s="2" t="n"/>
      <c r="O50" s="2" t="n"/>
      <c r="P50" s="6" t="n"/>
    </row>
    <row r="51" ht="58" customHeight="1">
      <c r="A51" s="7">
        <f>IF(C51="","","XY"&amp;TEXT(ROW()-1,"000"))</f>
        <v/>
      </c>
      <c r="B51" s="3" t="inlineStr">
        <is>
          <t>粘贴小图</t>
        </is>
      </c>
      <c r="C51" s="7" t="n"/>
      <c r="D51" s="7" t="n"/>
      <c r="E51" s="7" t="n"/>
      <c r="F51" s="7" t="n"/>
      <c r="G51" s="8" t="n"/>
      <c r="H51" s="8" t="n"/>
      <c r="I51" s="8">
        <f>IF(OR(G51="",H51=""),"",H51-G51)</f>
        <v/>
      </c>
      <c r="J51" s="9">
        <f>IF(OR(H51="",I51=""),"",I51/H51)</f>
        <v/>
      </c>
      <c r="K51" s="7" t="n"/>
      <c r="L51" s="7" t="n"/>
      <c r="M51" s="7" t="n"/>
      <c r="N51" s="7" t="n"/>
      <c r="O51" s="7" t="n"/>
      <c r="P51" s="10" t="n"/>
    </row>
    <row r="52" ht="58" customHeight="1">
      <c r="A52" s="2">
        <f>IF(C52="","","XY"&amp;TEXT(ROW()-1,"000"))</f>
        <v/>
      </c>
      <c r="B52" s="3" t="inlineStr">
        <is>
          <t>粘贴小图</t>
        </is>
      </c>
      <c r="C52" s="2" t="n"/>
      <c r="D52" s="2" t="n"/>
      <c r="E52" s="2" t="n"/>
      <c r="F52" s="2" t="n"/>
      <c r="G52" s="4" t="n"/>
      <c r="H52" s="4" t="n"/>
      <c r="I52" s="4">
        <f>IF(OR(G52="",H52=""),"",H52-G52)</f>
        <v/>
      </c>
      <c r="J52" s="5">
        <f>IF(OR(H52="",I52=""),"",I52/H52)</f>
        <v/>
      </c>
      <c r="K52" s="2" t="n"/>
      <c r="L52" s="2" t="n"/>
      <c r="M52" s="2" t="n"/>
      <c r="N52" s="2" t="n"/>
      <c r="O52" s="2" t="n"/>
      <c r="P52" s="6" t="n"/>
    </row>
    <row r="53" ht="58" customHeight="1">
      <c r="A53" s="7">
        <f>IF(C53="","","XY"&amp;TEXT(ROW()-1,"000"))</f>
        <v/>
      </c>
      <c r="B53" s="3" t="inlineStr">
        <is>
          <t>粘贴小图</t>
        </is>
      </c>
      <c r="C53" s="7" t="n"/>
      <c r="D53" s="7" t="n"/>
      <c r="E53" s="7" t="n"/>
      <c r="F53" s="7" t="n"/>
      <c r="G53" s="8" t="n"/>
      <c r="H53" s="8" t="n"/>
      <c r="I53" s="8">
        <f>IF(OR(G53="",H53=""),"",H53-G53)</f>
        <v/>
      </c>
      <c r="J53" s="9">
        <f>IF(OR(H53="",I53=""),"",I53/H53)</f>
        <v/>
      </c>
      <c r="K53" s="7" t="n"/>
      <c r="L53" s="7" t="n"/>
      <c r="M53" s="7" t="n"/>
      <c r="N53" s="7" t="n"/>
      <c r="O53" s="7" t="n"/>
      <c r="P53" s="10" t="n"/>
    </row>
    <row r="54" ht="58" customHeight="1">
      <c r="A54" s="2">
        <f>IF(C54="","","XY"&amp;TEXT(ROW()-1,"000"))</f>
        <v/>
      </c>
      <c r="B54" s="3" t="inlineStr">
        <is>
          <t>粘贴小图</t>
        </is>
      </c>
      <c r="C54" s="2" t="n"/>
      <c r="D54" s="2" t="n"/>
      <c r="E54" s="2" t="n"/>
      <c r="F54" s="2" t="n"/>
      <c r="G54" s="4" t="n"/>
      <c r="H54" s="4" t="n"/>
      <c r="I54" s="4">
        <f>IF(OR(G54="",H54=""),"",H54-G54)</f>
        <v/>
      </c>
      <c r="J54" s="5">
        <f>IF(OR(H54="",I54=""),"",I54/H54)</f>
        <v/>
      </c>
      <c r="K54" s="2" t="n"/>
      <c r="L54" s="2" t="n"/>
      <c r="M54" s="2" t="n"/>
      <c r="N54" s="2" t="n"/>
      <c r="O54" s="2" t="n"/>
      <c r="P54" s="6" t="n"/>
    </row>
    <row r="55" ht="58" customHeight="1">
      <c r="A55" s="7">
        <f>IF(C55="","","XY"&amp;TEXT(ROW()-1,"000"))</f>
        <v/>
      </c>
      <c r="B55" s="3" t="inlineStr">
        <is>
          <t>粘贴小图</t>
        </is>
      </c>
      <c r="C55" s="7" t="n"/>
      <c r="D55" s="7" t="n"/>
      <c r="E55" s="7" t="n"/>
      <c r="F55" s="7" t="n"/>
      <c r="G55" s="8" t="n"/>
      <c r="H55" s="8" t="n"/>
      <c r="I55" s="8">
        <f>IF(OR(G55="",H55=""),"",H55-G55)</f>
        <v/>
      </c>
      <c r="J55" s="9">
        <f>IF(OR(H55="",I55=""),"",I55/H55)</f>
        <v/>
      </c>
      <c r="K55" s="7" t="n"/>
      <c r="L55" s="7" t="n"/>
      <c r="M55" s="7" t="n"/>
      <c r="N55" s="7" t="n"/>
      <c r="O55" s="7" t="n"/>
      <c r="P55" s="10" t="n"/>
    </row>
    <row r="56" ht="58" customHeight="1">
      <c r="A56" s="2">
        <f>IF(C56="","","XY"&amp;TEXT(ROW()-1,"000"))</f>
        <v/>
      </c>
      <c r="B56" s="3" t="inlineStr">
        <is>
          <t>粘贴小图</t>
        </is>
      </c>
      <c r="C56" s="2" t="n"/>
      <c r="D56" s="2" t="n"/>
      <c r="E56" s="2" t="n"/>
      <c r="F56" s="2" t="n"/>
      <c r="G56" s="4" t="n"/>
      <c r="H56" s="4" t="n"/>
      <c r="I56" s="4">
        <f>IF(OR(G56="",H56=""),"",H56-G56)</f>
        <v/>
      </c>
      <c r="J56" s="5">
        <f>IF(OR(H56="",I56=""),"",I56/H56)</f>
        <v/>
      </c>
      <c r="K56" s="2" t="n"/>
      <c r="L56" s="2" t="n"/>
      <c r="M56" s="2" t="n"/>
      <c r="N56" s="2" t="n"/>
      <c r="O56" s="2" t="n"/>
      <c r="P56" s="6" t="n"/>
    </row>
    <row r="57" ht="58" customHeight="1">
      <c r="A57" s="7">
        <f>IF(C57="","","XY"&amp;TEXT(ROW()-1,"000"))</f>
        <v/>
      </c>
      <c r="B57" s="3" t="inlineStr">
        <is>
          <t>粘贴小图</t>
        </is>
      </c>
      <c r="C57" s="7" t="n"/>
      <c r="D57" s="7" t="n"/>
      <c r="E57" s="7" t="n"/>
      <c r="F57" s="7" t="n"/>
      <c r="G57" s="8" t="n"/>
      <c r="H57" s="8" t="n"/>
      <c r="I57" s="8">
        <f>IF(OR(G57="",H57=""),"",H57-G57)</f>
        <v/>
      </c>
      <c r="J57" s="9">
        <f>IF(OR(H57="",I57=""),"",I57/H57)</f>
        <v/>
      </c>
      <c r="K57" s="7" t="n"/>
      <c r="L57" s="7" t="n"/>
      <c r="M57" s="7" t="n"/>
      <c r="N57" s="7" t="n"/>
      <c r="O57" s="7" t="n"/>
      <c r="P57" s="10" t="n"/>
    </row>
    <row r="58" ht="58" customHeight="1">
      <c r="A58" s="2">
        <f>IF(C58="","","XY"&amp;TEXT(ROW()-1,"000"))</f>
        <v/>
      </c>
      <c r="B58" s="3" t="inlineStr">
        <is>
          <t>粘贴小图</t>
        </is>
      </c>
      <c r="C58" s="2" t="n"/>
      <c r="D58" s="2" t="n"/>
      <c r="E58" s="2" t="n"/>
      <c r="F58" s="2" t="n"/>
      <c r="G58" s="4" t="n"/>
      <c r="H58" s="4" t="n"/>
      <c r="I58" s="4">
        <f>IF(OR(G58="",H58=""),"",H58-G58)</f>
        <v/>
      </c>
      <c r="J58" s="5">
        <f>IF(OR(H58="",I58=""),"",I58/H58)</f>
        <v/>
      </c>
      <c r="K58" s="2" t="n"/>
      <c r="L58" s="2" t="n"/>
      <c r="M58" s="2" t="n"/>
      <c r="N58" s="2" t="n"/>
      <c r="O58" s="2" t="n"/>
      <c r="P58" s="6" t="n"/>
    </row>
    <row r="59" ht="58" customHeight="1">
      <c r="A59" s="7">
        <f>IF(C59="","","XY"&amp;TEXT(ROW()-1,"000"))</f>
        <v/>
      </c>
      <c r="B59" s="3" t="inlineStr">
        <is>
          <t>粘贴小图</t>
        </is>
      </c>
      <c r="C59" s="7" t="n"/>
      <c r="D59" s="7" t="n"/>
      <c r="E59" s="7" t="n"/>
      <c r="F59" s="7" t="n"/>
      <c r="G59" s="8" t="n"/>
      <c r="H59" s="8" t="n"/>
      <c r="I59" s="8">
        <f>IF(OR(G59="",H59=""),"",H59-G59)</f>
        <v/>
      </c>
      <c r="J59" s="9">
        <f>IF(OR(H59="",I59=""),"",I59/H59)</f>
        <v/>
      </c>
      <c r="K59" s="7" t="n"/>
      <c r="L59" s="7" t="n"/>
      <c r="M59" s="7" t="n"/>
      <c r="N59" s="7" t="n"/>
      <c r="O59" s="7" t="n"/>
      <c r="P59" s="10" t="n"/>
    </row>
    <row r="60" ht="58" customHeight="1">
      <c r="A60" s="2">
        <f>IF(C60="","","XY"&amp;TEXT(ROW()-1,"000"))</f>
        <v/>
      </c>
      <c r="B60" s="3" t="inlineStr">
        <is>
          <t>粘贴小图</t>
        </is>
      </c>
      <c r="C60" s="2" t="n"/>
      <c r="D60" s="2" t="n"/>
      <c r="E60" s="2" t="n"/>
      <c r="F60" s="2" t="n"/>
      <c r="G60" s="4" t="n"/>
      <c r="H60" s="4" t="n"/>
      <c r="I60" s="4">
        <f>IF(OR(G60="",H60=""),"",H60-G60)</f>
        <v/>
      </c>
      <c r="J60" s="5">
        <f>IF(OR(H60="",I60=""),"",I60/H60)</f>
        <v/>
      </c>
      <c r="K60" s="2" t="n"/>
      <c r="L60" s="2" t="n"/>
      <c r="M60" s="2" t="n"/>
      <c r="N60" s="2" t="n"/>
      <c r="O60" s="2" t="n"/>
      <c r="P60" s="6" t="n"/>
    </row>
    <row r="61" ht="58" customHeight="1">
      <c r="A61" s="7">
        <f>IF(C61="","","XY"&amp;TEXT(ROW()-1,"000"))</f>
        <v/>
      </c>
      <c r="B61" s="3" t="inlineStr">
        <is>
          <t>粘贴小图</t>
        </is>
      </c>
      <c r="C61" s="7" t="n"/>
      <c r="D61" s="7" t="n"/>
      <c r="E61" s="7" t="n"/>
      <c r="F61" s="7" t="n"/>
      <c r="G61" s="8" t="n"/>
      <c r="H61" s="8" t="n"/>
      <c r="I61" s="8">
        <f>IF(OR(G61="",H61=""),"",H61-G61)</f>
        <v/>
      </c>
      <c r="J61" s="9">
        <f>IF(OR(H61="",I61=""),"",I61/H61)</f>
        <v/>
      </c>
      <c r="K61" s="7" t="n"/>
      <c r="L61" s="7" t="n"/>
      <c r="M61" s="7" t="n"/>
      <c r="N61" s="7" t="n"/>
      <c r="O61" s="7" t="n"/>
      <c r="P61" s="10" t="n"/>
    </row>
    <row r="62" ht="58" customHeight="1">
      <c r="A62" s="2">
        <f>IF(C62="","","XY"&amp;TEXT(ROW()-1,"000"))</f>
        <v/>
      </c>
      <c r="B62" s="3" t="inlineStr">
        <is>
          <t>粘贴小图</t>
        </is>
      </c>
      <c r="C62" s="2" t="n"/>
      <c r="D62" s="2" t="n"/>
      <c r="E62" s="2" t="n"/>
      <c r="F62" s="2" t="n"/>
      <c r="G62" s="4" t="n"/>
      <c r="H62" s="4" t="n"/>
      <c r="I62" s="4">
        <f>IF(OR(G62="",H62=""),"",H62-G62)</f>
        <v/>
      </c>
      <c r="J62" s="5">
        <f>IF(OR(H62="",I62=""),"",I62/H62)</f>
        <v/>
      </c>
      <c r="K62" s="2" t="n"/>
      <c r="L62" s="2" t="n"/>
      <c r="M62" s="2" t="n"/>
      <c r="N62" s="2" t="n"/>
      <c r="O62" s="2" t="n"/>
      <c r="P62" s="6" t="n"/>
    </row>
    <row r="63" ht="58" customHeight="1">
      <c r="A63" s="7">
        <f>IF(C63="","","XY"&amp;TEXT(ROW()-1,"000"))</f>
        <v/>
      </c>
      <c r="B63" s="3" t="inlineStr">
        <is>
          <t>粘贴小图</t>
        </is>
      </c>
      <c r="C63" s="7" t="n"/>
      <c r="D63" s="7" t="n"/>
      <c r="E63" s="7" t="n"/>
      <c r="F63" s="7" t="n"/>
      <c r="G63" s="8" t="n"/>
      <c r="H63" s="8" t="n"/>
      <c r="I63" s="8">
        <f>IF(OR(G63="",H63=""),"",H63-G63)</f>
        <v/>
      </c>
      <c r="J63" s="9">
        <f>IF(OR(H63="",I63=""),"",I63/H63)</f>
        <v/>
      </c>
      <c r="K63" s="7" t="n"/>
      <c r="L63" s="7" t="n"/>
      <c r="M63" s="7" t="n"/>
      <c r="N63" s="7" t="n"/>
      <c r="O63" s="7" t="n"/>
      <c r="P63" s="10" t="n"/>
    </row>
    <row r="64" ht="58" customHeight="1">
      <c r="A64" s="2">
        <f>IF(C64="","","XY"&amp;TEXT(ROW()-1,"000"))</f>
        <v/>
      </c>
      <c r="B64" s="3" t="inlineStr">
        <is>
          <t>粘贴小图</t>
        </is>
      </c>
      <c r="C64" s="2" t="n"/>
      <c r="D64" s="2" t="n"/>
      <c r="E64" s="2" t="n"/>
      <c r="F64" s="2" t="n"/>
      <c r="G64" s="4" t="n"/>
      <c r="H64" s="4" t="n"/>
      <c r="I64" s="4">
        <f>IF(OR(G64="",H64=""),"",H64-G64)</f>
        <v/>
      </c>
      <c r="J64" s="5">
        <f>IF(OR(H64="",I64=""),"",I64/H64)</f>
        <v/>
      </c>
      <c r="K64" s="2" t="n"/>
      <c r="L64" s="2" t="n"/>
      <c r="M64" s="2" t="n"/>
      <c r="N64" s="2" t="n"/>
      <c r="O64" s="2" t="n"/>
      <c r="P64" s="6" t="n"/>
    </row>
    <row r="65" ht="58" customHeight="1">
      <c r="A65" s="7">
        <f>IF(C65="","","XY"&amp;TEXT(ROW()-1,"000"))</f>
        <v/>
      </c>
      <c r="B65" s="3" t="inlineStr">
        <is>
          <t>粘贴小图</t>
        </is>
      </c>
      <c r="C65" s="7" t="n"/>
      <c r="D65" s="7" t="n"/>
      <c r="E65" s="7" t="n"/>
      <c r="F65" s="7" t="n"/>
      <c r="G65" s="8" t="n"/>
      <c r="H65" s="8" t="n"/>
      <c r="I65" s="8">
        <f>IF(OR(G65="",H65=""),"",H65-G65)</f>
        <v/>
      </c>
      <c r="J65" s="9">
        <f>IF(OR(H65="",I65=""),"",I65/H65)</f>
        <v/>
      </c>
      <c r="K65" s="7" t="n"/>
      <c r="L65" s="7" t="n"/>
      <c r="M65" s="7" t="n"/>
      <c r="N65" s="7" t="n"/>
      <c r="O65" s="7" t="n"/>
      <c r="P65" s="10" t="n"/>
    </row>
    <row r="66" ht="58" customHeight="1">
      <c r="A66" s="2">
        <f>IF(C66="","","XY"&amp;TEXT(ROW()-1,"000"))</f>
        <v/>
      </c>
      <c r="B66" s="3" t="inlineStr">
        <is>
          <t>粘贴小图</t>
        </is>
      </c>
      <c r="C66" s="2" t="n"/>
      <c r="D66" s="2" t="n"/>
      <c r="E66" s="2" t="n"/>
      <c r="F66" s="2" t="n"/>
      <c r="G66" s="4" t="n"/>
      <c r="H66" s="4" t="n"/>
      <c r="I66" s="4">
        <f>IF(OR(G66="",H66=""),"",H66-G66)</f>
        <v/>
      </c>
      <c r="J66" s="5">
        <f>IF(OR(H66="",I66=""),"",I66/H66)</f>
        <v/>
      </c>
      <c r="K66" s="2" t="n"/>
      <c r="L66" s="2" t="n"/>
      <c r="M66" s="2" t="n"/>
      <c r="N66" s="2" t="n"/>
      <c r="O66" s="2" t="n"/>
      <c r="P66" s="6" t="n"/>
    </row>
    <row r="67" ht="58" customHeight="1">
      <c r="A67" s="7">
        <f>IF(C67="","","XY"&amp;TEXT(ROW()-1,"000"))</f>
        <v/>
      </c>
      <c r="B67" s="3" t="inlineStr">
        <is>
          <t>粘贴小图</t>
        </is>
      </c>
      <c r="C67" s="7" t="n"/>
      <c r="D67" s="7" t="n"/>
      <c r="E67" s="7" t="n"/>
      <c r="F67" s="7" t="n"/>
      <c r="G67" s="8" t="n"/>
      <c r="H67" s="8" t="n"/>
      <c r="I67" s="8">
        <f>IF(OR(G67="",H67=""),"",H67-G67)</f>
        <v/>
      </c>
      <c r="J67" s="9">
        <f>IF(OR(H67="",I67=""),"",I67/H67)</f>
        <v/>
      </c>
      <c r="K67" s="7" t="n"/>
      <c r="L67" s="7" t="n"/>
      <c r="M67" s="7" t="n"/>
      <c r="N67" s="7" t="n"/>
      <c r="O67" s="7" t="n"/>
      <c r="P67" s="10" t="n"/>
    </row>
    <row r="68" ht="58" customHeight="1">
      <c r="A68" s="2">
        <f>IF(C68="","","XY"&amp;TEXT(ROW()-1,"000"))</f>
        <v/>
      </c>
      <c r="B68" s="3" t="inlineStr">
        <is>
          <t>粘贴小图</t>
        </is>
      </c>
      <c r="C68" s="2" t="n"/>
      <c r="D68" s="2" t="n"/>
      <c r="E68" s="2" t="n"/>
      <c r="F68" s="2" t="n"/>
      <c r="G68" s="4" t="n"/>
      <c r="H68" s="4" t="n"/>
      <c r="I68" s="4">
        <f>IF(OR(G68="",H68=""),"",H68-G68)</f>
        <v/>
      </c>
      <c r="J68" s="5">
        <f>IF(OR(H68="",I68=""),"",I68/H68)</f>
        <v/>
      </c>
      <c r="K68" s="2" t="n"/>
      <c r="L68" s="2" t="n"/>
      <c r="M68" s="2" t="n"/>
      <c r="N68" s="2" t="n"/>
      <c r="O68" s="2" t="n"/>
      <c r="P68" s="6" t="n"/>
    </row>
    <row r="69" ht="58" customHeight="1">
      <c r="A69" s="7">
        <f>IF(C69="","","XY"&amp;TEXT(ROW()-1,"000"))</f>
        <v/>
      </c>
      <c r="B69" s="3" t="inlineStr">
        <is>
          <t>粘贴小图</t>
        </is>
      </c>
      <c r="C69" s="7" t="n"/>
      <c r="D69" s="7" t="n"/>
      <c r="E69" s="7" t="n"/>
      <c r="F69" s="7" t="n"/>
      <c r="G69" s="8" t="n"/>
      <c r="H69" s="8" t="n"/>
      <c r="I69" s="8">
        <f>IF(OR(G69="",H69=""),"",H69-G69)</f>
        <v/>
      </c>
      <c r="J69" s="9">
        <f>IF(OR(H69="",I69=""),"",I69/H69)</f>
        <v/>
      </c>
      <c r="K69" s="7" t="n"/>
      <c r="L69" s="7" t="n"/>
      <c r="M69" s="7" t="n"/>
      <c r="N69" s="7" t="n"/>
      <c r="O69" s="7" t="n"/>
      <c r="P69" s="10" t="n"/>
    </row>
    <row r="70" ht="58" customHeight="1">
      <c r="A70" s="2">
        <f>IF(C70="","","XY"&amp;TEXT(ROW()-1,"000"))</f>
        <v/>
      </c>
      <c r="B70" s="3" t="inlineStr">
        <is>
          <t>粘贴小图</t>
        </is>
      </c>
      <c r="C70" s="2" t="n"/>
      <c r="D70" s="2" t="n"/>
      <c r="E70" s="2" t="n"/>
      <c r="F70" s="2" t="n"/>
      <c r="G70" s="4" t="n"/>
      <c r="H70" s="4" t="n"/>
      <c r="I70" s="4">
        <f>IF(OR(G70="",H70=""),"",H70-G70)</f>
        <v/>
      </c>
      <c r="J70" s="5">
        <f>IF(OR(H70="",I70=""),"",I70/H70)</f>
        <v/>
      </c>
      <c r="K70" s="2" t="n"/>
      <c r="L70" s="2" t="n"/>
      <c r="M70" s="2" t="n"/>
      <c r="N70" s="2" t="n"/>
      <c r="O70" s="2" t="n"/>
      <c r="P70" s="6" t="n"/>
    </row>
    <row r="71" ht="58" customHeight="1">
      <c r="A71" s="7">
        <f>IF(C71="","","XY"&amp;TEXT(ROW()-1,"000"))</f>
        <v/>
      </c>
      <c r="B71" s="3" t="inlineStr">
        <is>
          <t>粘贴小图</t>
        </is>
      </c>
      <c r="C71" s="7" t="n"/>
      <c r="D71" s="7" t="n"/>
      <c r="E71" s="7" t="n"/>
      <c r="F71" s="7" t="n"/>
      <c r="G71" s="8" t="n"/>
      <c r="H71" s="8" t="n"/>
      <c r="I71" s="8">
        <f>IF(OR(G71="",H71=""),"",H71-G71)</f>
        <v/>
      </c>
      <c r="J71" s="9">
        <f>IF(OR(H71="",I71=""),"",I71/H71)</f>
        <v/>
      </c>
      <c r="K71" s="7" t="n"/>
      <c r="L71" s="7" t="n"/>
      <c r="M71" s="7" t="n"/>
      <c r="N71" s="7" t="n"/>
      <c r="O71" s="7" t="n"/>
      <c r="P71" s="10" t="n"/>
    </row>
    <row r="72" ht="58" customHeight="1">
      <c r="A72" s="2">
        <f>IF(C72="","","XY"&amp;TEXT(ROW()-1,"000"))</f>
        <v/>
      </c>
      <c r="B72" s="3" t="inlineStr">
        <is>
          <t>粘贴小图</t>
        </is>
      </c>
      <c r="C72" s="2" t="n"/>
      <c r="D72" s="2" t="n"/>
      <c r="E72" s="2" t="n"/>
      <c r="F72" s="2" t="n"/>
      <c r="G72" s="4" t="n"/>
      <c r="H72" s="4" t="n"/>
      <c r="I72" s="4">
        <f>IF(OR(G72="",H72=""),"",H72-G72)</f>
        <v/>
      </c>
      <c r="J72" s="5">
        <f>IF(OR(H72="",I72=""),"",I72/H72)</f>
        <v/>
      </c>
      <c r="K72" s="2" t="n"/>
      <c r="L72" s="2" t="n"/>
      <c r="M72" s="2" t="n"/>
      <c r="N72" s="2" t="n"/>
      <c r="O72" s="2" t="n"/>
      <c r="P72" s="6" t="n"/>
    </row>
    <row r="73" ht="58" customHeight="1">
      <c r="A73" s="7">
        <f>IF(C73="","","XY"&amp;TEXT(ROW()-1,"000"))</f>
        <v/>
      </c>
      <c r="B73" s="3" t="inlineStr">
        <is>
          <t>粘贴小图</t>
        </is>
      </c>
      <c r="C73" s="7" t="n"/>
      <c r="D73" s="7" t="n"/>
      <c r="E73" s="7" t="n"/>
      <c r="F73" s="7" t="n"/>
      <c r="G73" s="8" t="n"/>
      <c r="H73" s="8" t="n"/>
      <c r="I73" s="8">
        <f>IF(OR(G73="",H73=""),"",H73-G73)</f>
        <v/>
      </c>
      <c r="J73" s="9">
        <f>IF(OR(H73="",I73=""),"",I73/H73)</f>
        <v/>
      </c>
      <c r="K73" s="7" t="n"/>
      <c r="L73" s="7" t="n"/>
      <c r="M73" s="7" t="n"/>
      <c r="N73" s="7" t="n"/>
      <c r="O73" s="7" t="n"/>
      <c r="P73" s="10" t="n"/>
    </row>
    <row r="74" ht="58" customHeight="1">
      <c r="A74" s="2">
        <f>IF(C74="","","XY"&amp;TEXT(ROW()-1,"000"))</f>
        <v/>
      </c>
      <c r="B74" s="3" t="inlineStr">
        <is>
          <t>粘贴小图</t>
        </is>
      </c>
      <c r="C74" s="2" t="n"/>
      <c r="D74" s="2" t="n"/>
      <c r="E74" s="2" t="n"/>
      <c r="F74" s="2" t="n"/>
      <c r="G74" s="4" t="n"/>
      <c r="H74" s="4" t="n"/>
      <c r="I74" s="4">
        <f>IF(OR(G74="",H74=""),"",H74-G74)</f>
        <v/>
      </c>
      <c r="J74" s="5">
        <f>IF(OR(H74="",I74=""),"",I74/H74)</f>
        <v/>
      </c>
      <c r="K74" s="2" t="n"/>
      <c r="L74" s="2" t="n"/>
      <c r="M74" s="2" t="n"/>
      <c r="N74" s="2" t="n"/>
      <c r="O74" s="2" t="n"/>
      <c r="P74" s="6" t="n"/>
    </row>
    <row r="75" ht="58" customHeight="1">
      <c r="A75" s="7">
        <f>IF(C75="","","XY"&amp;TEXT(ROW()-1,"000"))</f>
        <v/>
      </c>
      <c r="B75" s="3" t="inlineStr">
        <is>
          <t>粘贴小图</t>
        </is>
      </c>
      <c r="C75" s="7" t="n"/>
      <c r="D75" s="7" t="n"/>
      <c r="E75" s="7" t="n"/>
      <c r="F75" s="7" t="n"/>
      <c r="G75" s="8" t="n"/>
      <c r="H75" s="8" t="n"/>
      <c r="I75" s="8">
        <f>IF(OR(G75="",H75=""),"",H75-G75)</f>
        <v/>
      </c>
      <c r="J75" s="9">
        <f>IF(OR(H75="",I75=""),"",I75/H75)</f>
        <v/>
      </c>
      <c r="K75" s="7" t="n"/>
      <c r="L75" s="7" t="n"/>
      <c r="M75" s="7" t="n"/>
      <c r="N75" s="7" t="n"/>
      <c r="O75" s="7" t="n"/>
      <c r="P75" s="10" t="n"/>
    </row>
    <row r="76" ht="58" customHeight="1">
      <c r="A76" s="2">
        <f>IF(C76="","","XY"&amp;TEXT(ROW()-1,"000"))</f>
        <v/>
      </c>
      <c r="B76" s="3" t="inlineStr">
        <is>
          <t>粘贴小图</t>
        </is>
      </c>
      <c r="C76" s="2" t="n"/>
      <c r="D76" s="2" t="n"/>
      <c r="E76" s="2" t="n"/>
      <c r="F76" s="2" t="n"/>
      <c r="G76" s="4" t="n"/>
      <c r="H76" s="4" t="n"/>
      <c r="I76" s="4">
        <f>IF(OR(G76="",H76=""),"",H76-G76)</f>
        <v/>
      </c>
      <c r="J76" s="5">
        <f>IF(OR(H76="",I76=""),"",I76/H76)</f>
        <v/>
      </c>
      <c r="K76" s="2" t="n"/>
      <c r="L76" s="2" t="n"/>
      <c r="M76" s="2" t="n"/>
      <c r="N76" s="2" t="n"/>
      <c r="O76" s="2" t="n"/>
      <c r="P76" s="6" t="n"/>
    </row>
    <row r="77" ht="58" customHeight="1">
      <c r="A77" s="7">
        <f>IF(C77="","","XY"&amp;TEXT(ROW()-1,"000"))</f>
        <v/>
      </c>
      <c r="B77" s="3" t="inlineStr">
        <is>
          <t>粘贴小图</t>
        </is>
      </c>
      <c r="C77" s="7" t="n"/>
      <c r="D77" s="7" t="n"/>
      <c r="E77" s="7" t="n"/>
      <c r="F77" s="7" t="n"/>
      <c r="G77" s="8" t="n"/>
      <c r="H77" s="8" t="n"/>
      <c r="I77" s="8">
        <f>IF(OR(G77="",H77=""),"",H77-G77)</f>
        <v/>
      </c>
      <c r="J77" s="9">
        <f>IF(OR(H77="",I77=""),"",I77/H77)</f>
        <v/>
      </c>
      <c r="K77" s="7" t="n"/>
      <c r="L77" s="7" t="n"/>
      <c r="M77" s="7" t="n"/>
      <c r="N77" s="7" t="n"/>
      <c r="O77" s="7" t="n"/>
      <c r="P77" s="10" t="n"/>
    </row>
    <row r="78" ht="58" customHeight="1">
      <c r="A78" s="2">
        <f>IF(C78="","","XY"&amp;TEXT(ROW()-1,"000"))</f>
        <v/>
      </c>
      <c r="B78" s="3" t="inlineStr">
        <is>
          <t>粘贴小图</t>
        </is>
      </c>
      <c r="C78" s="2" t="n"/>
      <c r="D78" s="2" t="n"/>
      <c r="E78" s="2" t="n"/>
      <c r="F78" s="2" t="n"/>
      <c r="G78" s="4" t="n"/>
      <c r="H78" s="4" t="n"/>
      <c r="I78" s="4">
        <f>IF(OR(G78="",H78=""),"",H78-G78)</f>
        <v/>
      </c>
      <c r="J78" s="5">
        <f>IF(OR(H78="",I78=""),"",I78/H78)</f>
        <v/>
      </c>
      <c r="K78" s="2" t="n"/>
      <c r="L78" s="2" t="n"/>
      <c r="M78" s="2" t="n"/>
      <c r="N78" s="2" t="n"/>
      <c r="O78" s="2" t="n"/>
      <c r="P78" s="6" t="n"/>
    </row>
    <row r="79" ht="58" customHeight="1">
      <c r="A79" s="7">
        <f>IF(C79="","","XY"&amp;TEXT(ROW()-1,"000"))</f>
        <v/>
      </c>
      <c r="B79" s="3" t="inlineStr">
        <is>
          <t>粘贴小图</t>
        </is>
      </c>
      <c r="C79" s="7" t="n"/>
      <c r="D79" s="7" t="n"/>
      <c r="E79" s="7" t="n"/>
      <c r="F79" s="7" t="n"/>
      <c r="G79" s="8" t="n"/>
      <c r="H79" s="8" t="n"/>
      <c r="I79" s="8">
        <f>IF(OR(G79="",H79=""),"",H79-G79)</f>
        <v/>
      </c>
      <c r="J79" s="9">
        <f>IF(OR(H79="",I79=""),"",I79/H79)</f>
        <v/>
      </c>
      <c r="K79" s="7" t="n"/>
      <c r="L79" s="7" t="n"/>
      <c r="M79" s="7" t="n"/>
      <c r="N79" s="7" t="n"/>
      <c r="O79" s="7" t="n"/>
      <c r="P79" s="10" t="n"/>
    </row>
    <row r="80" ht="58" customHeight="1">
      <c r="A80" s="2">
        <f>IF(C80="","","XY"&amp;TEXT(ROW()-1,"000"))</f>
        <v/>
      </c>
      <c r="B80" s="3" t="inlineStr">
        <is>
          <t>粘贴小图</t>
        </is>
      </c>
      <c r="C80" s="2" t="n"/>
      <c r="D80" s="2" t="n"/>
      <c r="E80" s="2" t="n"/>
      <c r="F80" s="2" t="n"/>
      <c r="G80" s="4" t="n"/>
      <c r="H80" s="4" t="n"/>
      <c r="I80" s="4">
        <f>IF(OR(G80="",H80=""),"",H80-G80)</f>
        <v/>
      </c>
      <c r="J80" s="5">
        <f>IF(OR(H80="",I80=""),"",I80/H80)</f>
        <v/>
      </c>
      <c r="K80" s="2" t="n"/>
      <c r="L80" s="2" t="n"/>
      <c r="M80" s="2" t="n"/>
      <c r="N80" s="2" t="n"/>
      <c r="O80" s="2" t="n"/>
      <c r="P80" s="6" t="n"/>
    </row>
    <row r="81" ht="58" customHeight="1">
      <c r="A81" s="7">
        <f>IF(C81="","","XY"&amp;TEXT(ROW()-1,"000"))</f>
        <v/>
      </c>
      <c r="B81" s="3" t="inlineStr">
        <is>
          <t>粘贴小图</t>
        </is>
      </c>
      <c r="C81" s="7" t="n"/>
      <c r="D81" s="7" t="n"/>
      <c r="E81" s="7" t="n"/>
      <c r="F81" s="7" t="n"/>
      <c r="G81" s="8" t="n"/>
      <c r="H81" s="8" t="n"/>
      <c r="I81" s="8">
        <f>IF(OR(G81="",H81=""),"",H81-G81)</f>
        <v/>
      </c>
      <c r="J81" s="9">
        <f>IF(OR(H81="",I81=""),"",I81/H81)</f>
        <v/>
      </c>
      <c r="K81" s="7" t="n"/>
      <c r="L81" s="7" t="n"/>
      <c r="M81" s="7" t="n"/>
      <c r="N81" s="7" t="n"/>
      <c r="O81" s="7" t="n"/>
      <c r="P81" s="10" t="n"/>
    </row>
    <row r="82" ht="58" customHeight="1">
      <c r="A82" s="2">
        <f>IF(C82="","","XY"&amp;TEXT(ROW()-1,"000"))</f>
        <v/>
      </c>
      <c r="B82" s="3" t="inlineStr">
        <is>
          <t>粘贴小图</t>
        </is>
      </c>
      <c r="C82" s="2" t="n"/>
      <c r="D82" s="2" t="n"/>
      <c r="E82" s="2" t="n"/>
      <c r="F82" s="2" t="n"/>
      <c r="G82" s="4" t="n"/>
      <c r="H82" s="4" t="n"/>
      <c r="I82" s="4">
        <f>IF(OR(G82="",H82=""),"",H82-G82)</f>
        <v/>
      </c>
      <c r="J82" s="5">
        <f>IF(OR(H82="",I82=""),"",I82/H82)</f>
        <v/>
      </c>
      <c r="K82" s="2" t="n"/>
      <c r="L82" s="2" t="n"/>
      <c r="M82" s="2" t="n"/>
      <c r="N82" s="2" t="n"/>
      <c r="O82" s="2" t="n"/>
      <c r="P82" s="6" t="n"/>
    </row>
    <row r="83" ht="58" customHeight="1">
      <c r="A83" s="7">
        <f>IF(C83="","","XY"&amp;TEXT(ROW()-1,"000"))</f>
        <v/>
      </c>
      <c r="B83" s="3" t="inlineStr">
        <is>
          <t>粘贴小图</t>
        </is>
      </c>
      <c r="C83" s="7" t="n"/>
      <c r="D83" s="7" t="n"/>
      <c r="E83" s="7" t="n"/>
      <c r="F83" s="7" t="n"/>
      <c r="G83" s="8" t="n"/>
      <c r="H83" s="8" t="n"/>
      <c r="I83" s="8">
        <f>IF(OR(G83="",H83=""),"",H83-G83)</f>
        <v/>
      </c>
      <c r="J83" s="9">
        <f>IF(OR(H83="",I83=""),"",I83/H83)</f>
        <v/>
      </c>
      <c r="K83" s="7" t="n"/>
      <c r="L83" s="7" t="n"/>
      <c r="M83" s="7" t="n"/>
      <c r="N83" s="7" t="n"/>
      <c r="O83" s="7" t="n"/>
      <c r="P83" s="10" t="n"/>
    </row>
    <row r="84" ht="58" customHeight="1">
      <c r="A84" s="2">
        <f>IF(C84="","","XY"&amp;TEXT(ROW()-1,"000"))</f>
        <v/>
      </c>
      <c r="B84" s="3" t="inlineStr">
        <is>
          <t>粘贴小图</t>
        </is>
      </c>
      <c r="C84" s="2" t="n"/>
      <c r="D84" s="2" t="n"/>
      <c r="E84" s="2" t="n"/>
      <c r="F84" s="2" t="n"/>
      <c r="G84" s="4" t="n"/>
      <c r="H84" s="4" t="n"/>
      <c r="I84" s="4">
        <f>IF(OR(G84="",H84=""),"",H84-G84)</f>
        <v/>
      </c>
      <c r="J84" s="5">
        <f>IF(OR(H84="",I84=""),"",I84/H84)</f>
        <v/>
      </c>
      <c r="K84" s="2" t="n"/>
      <c r="L84" s="2" t="n"/>
      <c r="M84" s="2" t="n"/>
      <c r="N84" s="2" t="n"/>
      <c r="O84" s="2" t="n"/>
      <c r="P84" s="6" t="n"/>
    </row>
    <row r="85" ht="58" customHeight="1">
      <c r="A85" s="7">
        <f>IF(C85="","","XY"&amp;TEXT(ROW()-1,"000"))</f>
        <v/>
      </c>
      <c r="B85" s="3" t="inlineStr">
        <is>
          <t>粘贴小图</t>
        </is>
      </c>
      <c r="C85" s="7" t="n"/>
      <c r="D85" s="7" t="n"/>
      <c r="E85" s="7" t="n"/>
      <c r="F85" s="7" t="n"/>
      <c r="G85" s="8" t="n"/>
      <c r="H85" s="8" t="n"/>
      <c r="I85" s="8">
        <f>IF(OR(G85="",H85=""),"",H85-G85)</f>
        <v/>
      </c>
      <c r="J85" s="9">
        <f>IF(OR(H85="",I85=""),"",I85/H85)</f>
        <v/>
      </c>
      <c r="K85" s="7" t="n"/>
      <c r="L85" s="7" t="n"/>
      <c r="M85" s="7" t="n"/>
      <c r="N85" s="7" t="n"/>
      <c r="O85" s="7" t="n"/>
      <c r="P85" s="10" t="n"/>
    </row>
    <row r="86" ht="58" customHeight="1">
      <c r="A86" s="2">
        <f>IF(C86="","","XY"&amp;TEXT(ROW()-1,"000"))</f>
        <v/>
      </c>
      <c r="B86" s="3" t="inlineStr">
        <is>
          <t>粘贴小图</t>
        </is>
      </c>
      <c r="C86" s="2" t="n"/>
      <c r="D86" s="2" t="n"/>
      <c r="E86" s="2" t="n"/>
      <c r="F86" s="2" t="n"/>
      <c r="G86" s="4" t="n"/>
      <c r="H86" s="4" t="n"/>
      <c r="I86" s="4">
        <f>IF(OR(G86="",H86=""),"",H86-G86)</f>
        <v/>
      </c>
      <c r="J86" s="5">
        <f>IF(OR(H86="",I86=""),"",I86/H86)</f>
        <v/>
      </c>
      <c r="K86" s="2" t="n"/>
      <c r="L86" s="2" t="n"/>
      <c r="M86" s="2" t="n"/>
      <c r="N86" s="2" t="n"/>
      <c r="O86" s="2" t="n"/>
      <c r="P86" s="6" t="n"/>
    </row>
    <row r="87" ht="58" customHeight="1">
      <c r="A87" s="7">
        <f>IF(C87="","","XY"&amp;TEXT(ROW()-1,"000"))</f>
        <v/>
      </c>
      <c r="B87" s="3" t="inlineStr">
        <is>
          <t>粘贴小图</t>
        </is>
      </c>
      <c r="C87" s="7" t="n"/>
      <c r="D87" s="7" t="n"/>
      <c r="E87" s="7" t="n"/>
      <c r="F87" s="7" t="n"/>
      <c r="G87" s="8" t="n"/>
      <c r="H87" s="8" t="n"/>
      <c r="I87" s="8">
        <f>IF(OR(G87="",H87=""),"",H87-G87)</f>
        <v/>
      </c>
      <c r="J87" s="9">
        <f>IF(OR(H87="",I87=""),"",I87/H87)</f>
        <v/>
      </c>
      <c r="K87" s="7" t="n"/>
      <c r="L87" s="7" t="n"/>
      <c r="M87" s="7" t="n"/>
      <c r="N87" s="7" t="n"/>
      <c r="O87" s="7" t="n"/>
      <c r="P87" s="10" t="n"/>
    </row>
    <row r="88" ht="58" customHeight="1">
      <c r="A88" s="2">
        <f>IF(C88="","","XY"&amp;TEXT(ROW()-1,"000"))</f>
        <v/>
      </c>
      <c r="B88" s="3" t="inlineStr">
        <is>
          <t>粘贴小图</t>
        </is>
      </c>
      <c r="C88" s="2" t="n"/>
      <c r="D88" s="2" t="n"/>
      <c r="E88" s="2" t="n"/>
      <c r="F88" s="2" t="n"/>
      <c r="G88" s="4" t="n"/>
      <c r="H88" s="4" t="n"/>
      <c r="I88" s="4">
        <f>IF(OR(G88="",H88=""),"",H88-G88)</f>
        <v/>
      </c>
      <c r="J88" s="5">
        <f>IF(OR(H88="",I88=""),"",I88/H88)</f>
        <v/>
      </c>
      <c r="K88" s="2" t="n"/>
      <c r="L88" s="2" t="n"/>
      <c r="M88" s="2" t="n"/>
      <c r="N88" s="2" t="n"/>
      <c r="O88" s="2" t="n"/>
      <c r="P88" s="6" t="n"/>
    </row>
    <row r="89" ht="58" customHeight="1">
      <c r="A89" s="7">
        <f>IF(C89="","","XY"&amp;TEXT(ROW()-1,"000"))</f>
        <v/>
      </c>
      <c r="B89" s="3" t="inlineStr">
        <is>
          <t>粘贴小图</t>
        </is>
      </c>
      <c r="C89" s="7" t="n"/>
      <c r="D89" s="7" t="n"/>
      <c r="E89" s="7" t="n"/>
      <c r="F89" s="7" t="n"/>
      <c r="G89" s="8" t="n"/>
      <c r="H89" s="8" t="n"/>
      <c r="I89" s="8">
        <f>IF(OR(G89="",H89=""),"",H89-G89)</f>
        <v/>
      </c>
      <c r="J89" s="9">
        <f>IF(OR(H89="",I89=""),"",I89/H89)</f>
        <v/>
      </c>
      <c r="K89" s="7" t="n"/>
      <c r="L89" s="7" t="n"/>
      <c r="M89" s="7" t="n"/>
      <c r="N89" s="7" t="n"/>
      <c r="O89" s="7" t="n"/>
      <c r="P89" s="10" t="n"/>
    </row>
    <row r="90" ht="58" customHeight="1">
      <c r="A90" s="2">
        <f>IF(C90="","","XY"&amp;TEXT(ROW()-1,"000"))</f>
        <v/>
      </c>
      <c r="B90" s="3" t="inlineStr">
        <is>
          <t>粘贴小图</t>
        </is>
      </c>
      <c r="C90" s="2" t="n"/>
      <c r="D90" s="2" t="n"/>
      <c r="E90" s="2" t="n"/>
      <c r="F90" s="2" t="n"/>
      <c r="G90" s="4" t="n"/>
      <c r="H90" s="4" t="n"/>
      <c r="I90" s="4">
        <f>IF(OR(G90="",H90=""),"",H90-G90)</f>
        <v/>
      </c>
      <c r="J90" s="5">
        <f>IF(OR(H90="",I90=""),"",I90/H90)</f>
        <v/>
      </c>
      <c r="K90" s="2" t="n"/>
      <c r="L90" s="2" t="n"/>
      <c r="M90" s="2" t="n"/>
      <c r="N90" s="2" t="n"/>
      <c r="O90" s="2" t="n"/>
      <c r="P90" s="6" t="n"/>
    </row>
    <row r="91" ht="58" customHeight="1">
      <c r="A91" s="7">
        <f>IF(C91="","","XY"&amp;TEXT(ROW()-1,"000"))</f>
        <v/>
      </c>
      <c r="B91" s="3" t="inlineStr">
        <is>
          <t>粘贴小图</t>
        </is>
      </c>
      <c r="C91" s="7" t="n"/>
      <c r="D91" s="7" t="n"/>
      <c r="E91" s="7" t="n"/>
      <c r="F91" s="7" t="n"/>
      <c r="G91" s="8" t="n"/>
      <c r="H91" s="8" t="n"/>
      <c r="I91" s="8">
        <f>IF(OR(G91="",H91=""),"",H91-G91)</f>
        <v/>
      </c>
      <c r="J91" s="9">
        <f>IF(OR(H91="",I91=""),"",I91/H91)</f>
        <v/>
      </c>
      <c r="K91" s="7" t="n"/>
      <c r="L91" s="7" t="n"/>
      <c r="M91" s="7" t="n"/>
      <c r="N91" s="7" t="n"/>
      <c r="O91" s="7" t="n"/>
      <c r="P91" s="10" t="n"/>
    </row>
    <row r="92" ht="58" customHeight="1">
      <c r="A92" s="2">
        <f>IF(C92="","","XY"&amp;TEXT(ROW()-1,"000"))</f>
        <v/>
      </c>
      <c r="B92" s="3" t="inlineStr">
        <is>
          <t>粘贴小图</t>
        </is>
      </c>
      <c r="C92" s="2" t="n"/>
      <c r="D92" s="2" t="n"/>
      <c r="E92" s="2" t="n"/>
      <c r="F92" s="2" t="n"/>
      <c r="G92" s="4" t="n"/>
      <c r="H92" s="4" t="n"/>
      <c r="I92" s="4">
        <f>IF(OR(G92="",H92=""),"",H92-G92)</f>
        <v/>
      </c>
      <c r="J92" s="5">
        <f>IF(OR(H92="",I92=""),"",I92/H92)</f>
        <v/>
      </c>
      <c r="K92" s="2" t="n"/>
      <c r="L92" s="2" t="n"/>
      <c r="M92" s="2" t="n"/>
      <c r="N92" s="2" t="n"/>
      <c r="O92" s="2" t="n"/>
      <c r="P92" s="6" t="n"/>
    </row>
    <row r="93" ht="58" customHeight="1">
      <c r="A93" s="7">
        <f>IF(C93="","","XY"&amp;TEXT(ROW()-1,"000"))</f>
        <v/>
      </c>
      <c r="B93" s="3" t="inlineStr">
        <is>
          <t>粘贴小图</t>
        </is>
      </c>
      <c r="C93" s="7" t="n"/>
      <c r="D93" s="7" t="n"/>
      <c r="E93" s="7" t="n"/>
      <c r="F93" s="7" t="n"/>
      <c r="G93" s="8" t="n"/>
      <c r="H93" s="8" t="n"/>
      <c r="I93" s="8">
        <f>IF(OR(G93="",H93=""),"",H93-G93)</f>
        <v/>
      </c>
      <c r="J93" s="9">
        <f>IF(OR(H93="",I93=""),"",I93/H93)</f>
        <v/>
      </c>
      <c r="K93" s="7" t="n"/>
      <c r="L93" s="7" t="n"/>
      <c r="M93" s="7" t="n"/>
      <c r="N93" s="7" t="n"/>
      <c r="O93" s="7" t="n"/>
      <c r="P93" s="10" t="n"/>
    </row>
    <row r="94" ht="58" customHeight="1">
      <c r="A94" s="2">
        <f>IF(C94="","","XY"&amp;TEXT(ROW()-1,"000"))</f>
        <v/>
      </c>
      <c r="B94" s="3" t="inlineStr">
        <is>
          <t>粘贴小图</t>
        </is>
      </c>
      <c r="C94" s="2" t="n"/>
      <c r="D94" s="2" t="n"/>
      <c r="E94" s="2" t="n"/>
      <c r="F94" s="2" t="n"/>
      <c r="G94" s="4" t="n"/>
      <c r="H94" s="4" t="n"/>
      <c r="I94" s="4">
        <f>IF(OR(G94="",H94=""),"",H94-G94)</f>
        <v/>
      </c>
      <c r="J94" s="5">
        <f>IF(OR(H94="",I94=""),"",I94/H94)</f>
        <v/>
      </c>
      <c r="K94" s="2" t="n"/>
      <c r="L94" s="2" t="n"/>
      <c r="M94" s="2" t="n"/>
      <c r="N94" s="2" t="n"/>
      <c r="O94" s="2" t="n"/>
      <c r="P94" s="6" t="n"/>
    </row>
    <row r="95" ht="58" customHeight="1">
      <c r="A95" s="7">
        <f>IF(C95="","","XY"&amp;TEXT(ROW()-1,"000"))</f>
        <v/>
      </c>
      <c r="B95" s="3" t="inlineStr">
        <is>
          <t>粘贴小图</t>
        </is>
      </c>
      <c r="C95" s="7" t="n"/>
      <c r="D95" s="7" t="n"/>
      <c r="E95" s="7" t="n"/>
      <c r="F95" s="7" t="n"/>
      <c r="G95" s="8" t="n"/>
      <c r="H95" s="8" t="n"/>
      <c r="I95" s="8">
        <f>IF(OR(G95="",H95=""),"",H95-G95)</f>
        <v/>
      </c>
      <c r="J95" s="9">
        <f>IF(OR(H95="",I95=""),"",I95/H95)</f>
        <v/>
      </c>
      <c r="K95" s="7" t="n"/>
      <c r="L95" s="7" t="n"/>
      <c r="M95" s="7" t="n"/>
      <c r="N95" s="7" t="n"/>
      <c r="O95" s="7" t="n"/>
      <c r="P95" s="10" t="n"/>
    </row>
    <row r="96" ht="58" customHeight="1">
      <c r="A96" s="2">
        <f>IF(C96="","","XY"&amp;TEXT(ROW()-1,"000"))</f>
        <v/>
      </c>
      <c r="B96" s="3" t="inlineStr">
        <is>
          <t>粘贴小图</t>
        </is>
      </c>
      <c r="C96" s="2" t="n"/>
      <c r="D96" s="2" t="n"/>
      <c r="E96" s="2" t="n"/>
      <c r="F96" s="2" t="n"/>
      <c r="G96" s="4" t="n"/>
      <c r="H96" s="4" t="n"/>
      <c r="I96" s="4">
        <f>IF(OR(G96="",H96=""),"",H96-G96)</f>
        <v/>
      </c>
      <c r="J96" s="5">
        <f>IF(OR(H96="",I96=""),"",I96/H96)</f>
        <v/>
      </c>
      <c r="K96" s="2" t="n"/>
      <c r="L96" s="2" t="n"/>
      <c r="M96" s="2" t="n"/>
      <c r="N96" s="2" t="n"/>
      <c r="O96" s="2" t="n"/>
      <c r="P96" s="6" t="n"/>
    </row>
    <row r="97" ht="58" customHeight="1">
      <c r="A97" s="7">
        <f>IF(C97="","","XY"&amp;TEXT(ROW()-1,"000"))</f>
        <v/>
      </c>
      <c r="B97" s="3" t="inlineStr">
        <is>
          <t>粘贴小图</t>
        </is>
      </c>
      <c r="C97" s="7" t="n"/>
      <c r="D97" s="7" t="n"/>
      <c r="E97" s="7" t="n"/>
      <c r="F97" s="7" t="n"/>
      <c r="G97" s="8" t="n"/>
      <c r="H97" s="8" t="n"/>
      <c r="I97" s="8">
        <f>IF(OR(G97="",H97=""),"",H97-G97)</f>
        <v/>
      </c>
      <c r="J97" s="9">
        <f>IF(OR(H97="",I97=""),"",I97/H97)</f>
        <v/>
      </c>
      <c r="K97" s="7" t="n"/>
      <c r="L97" s="7" t="n"/>
      <c r="M97" s="7" t="n"/>
      <c r="N97" s="7" t="n"/>
      <c r="O97" s="7" t="n"/>
      <c r="P97" s="10" t="n"/>
    </row>
    <row r="98" ht="58" customHeight="1">
      <c r="A98" s="2">
        <f>IF(C98="","","XY"&amp;TEXT(ROW()-1,"000"))</f>
        <v/>
      </c>
      <c r="B98" s="3" t="inlineStr">
        <is>
          <t>粘贴小图</t>
        </is>
      </c>
      <c r="C98" s="2" t="n"/>
      <c r="D98" s="2" t="n"/>
      <c r="E98" s="2" t="n"/>
      <c r="F98" s="2" t="n"/>
      <c r="G98" s="4" t="n"/>
      <c r="H98" s="4" t="n"/>
      <c r="I98" s="4">
        <f>IF(OR(G98="",H98=""),"",H98-G98)</f>
        <v/>
      </c>
      <c r="J98" s="5">
        <f>IF(OR(H98="",I98=""),"",I98/H98)</f>
        <v/>
      </c>
      <c r="K98" s="2" t="n"/>
      <c r="L98" s="2" t="n"/>
      <c r="M98" s="2" t="n"/>
      <c r="N98" s="2" t="n"/>
      <c r="O98" s="2" t="n"/>
      <c r="P98" s="6" t="n"/>
    </row>
    <row r="99" ht="58" customHeight="1">
      <c r="A99" s="7">
        <f>IF(C99="","","XY"&amp;TEXT(ROW()-1,"000"))</f>
        <v/>
      </c>
      <c r="B99" s="3" t="inlineStr">
        <is>
          <t>粘贴小图</t>
        </is>
      </c>
      <c r="C99" s="7" t="n"/>
      <c r="D99" s="7" t="n"/>
      <c r="E99" s="7" t="n"/>
      <c r="F99" s="7" t="n"/>
      <c r="G99" s="8" t="n"/>
      <c r="H99" s="8" t="n"/>
      <c r="I99" s="8">
        <f>IF(OR(G99="",H99=""),"",H99-G99)</f>
        <v/>
      </c>
      <c r="J99" s="9">
        <f>IF(OR(H99="",I99=""),"",I99/H99)</f>
        <v/>
      </c>
      <c r="K99" s="7" t="n"/>
      <c r="L99" s="7" t="n"/>
      <c r="M99" s="7" t="n"/>
      <c r="N99" s="7" t="n"/>
      <c r="O99" s="7" t="n"/>
      <c r="P99" s="10" t="n"/>
    </row>
    <row r="100" ht="58" customHeight="1">
      <c r="A100" s="2">
        <f>IF(C100="","","XY"&amp;TEXT(ROW()-1,"000"))</f>
        <v/>
      </c>
      <c r="B100" s="3" t="inlineStr">
        <is>
          <t>粘贴小图</t>
        </is>
      </c>
      <c r="C100" s="2" t="n"/>
      <c r="D100" s="2" t="n"/>
      <c r="E100" s="2" t="n"/>
      <c r="F100" s="2" t="n"/>
      <c r="G100" s="4" t="n"/>
      <c r="H100" s="4" t="n"/>
      <c r="I100" s="4">
        <f>IF(OR(G100="",H100=""),"",H100-G100)</f>
        <v/>
      </c>
      <c r="J100" s="5">
        <f>IF(OR(H100="",I100=""),"",I100/H100)</f>
        <v/>
      </c>
      <c r="K100" s="2" t="n"/>
      <c r="L100" s="2" t="n"/>
      <c r="M100" s="2" t="n"/>
      <c r="N100" s="2" t="n"/>
      <c r="O100" s="2" t="n"/>
      <c r="P100" s="6" t="n"/>
    </row>
    <row r="101" ht="58" customHeight="1">
      <c r="A101" s="7">
        <f>IF(C101="","","XY"&amp;TEXT(ROW()-1,"000"))</f>
        <v/>
      </c>
      <c r="B101" s="3" t="inlineStr">
        <is>
          <t>粘贴小图</t>
        </is>
      </c>
      <c r="C101" s="7" t="n"/>
      <c r="D101" s="7" t="n"/>
      <c r="E101" s="7" t="n"/>
      <c r="F101" s="7" t="n"/>
      <c r="G101" s="8" t="n"/>
      <c r="H101" s="8" t="n"/>
      <c r="I101" s="8">
        <f>IF(OR(G101="",H101=""),"",H101-G101)</f>
        <v/>
      </c>
      <c r="J101" s="9">
        <f>IF(OR(H101="",I101=""),"",I101/H101)</f>
        <v/>
      </c>
      <c r="K101" s="7" t="n"/>
      <c r="L101" s="7" t="n"/>
      <c r="M101" s="7" t="n"/>
      <c r="N101" s="7" t="n"/>
      <c r="O101" s="7" t="n"/>
      <c r="P101" s="10" t="n"/>
    </row>
  </sheetData>
  <autoFilter ref="A1:P101"/>
  <conditionalFormatting sqref="L2:L101">
    <cfRule type="expression" priority="1" dxfId="0">
      <formula>=$L2="待拍图"</formula>
    </cfRule>
    <cfRule type="expression" priority="2" dxfId="1">
      <formula>=$L2="待上架"</formula>
    </cfRule>
    <cfRule type="expression" priority="3" dxfId="2">
      <formula>=$L2="已上架"</formula>
    </cfRule>
    <cfRule type="expression" priority="4" dxfId="3">
      <formula>=$L2="已售出"</formula>
    </cfRule>
    <cfRule type="expression" priority="5" dxfId="4">
      <formula>=$L2="下架"</formula>
    </cfRule>
  </conditionalFormatting>
  <conditionalFormatting sqref="I2:I101">
    <cfRule type="cellIs" priority="6" operator="lessThan" dxfId="4">
      <formula>0</formula>
    </cfRule>
    <cfRule type="cellIs" priority="7" operator="greaterThan" dxfId="3">
      <formula>0</formula>
    </cfRule>
  </conditionalFormatting>
  <dataValidations count="3">
    <dataValidation sqref="D2:D101" showDropDown="0" showInputMessage="0" showErrorMessage="0" allowBlank="1" type="list">
      <formula1>='分类与状态'!$A$2:$A$11</formula1>
    </dataValidation>
    <dataValidation sqref="E2:E101" showDropDown="0" showInputMessage="0" showErrorMessage="0" allowBlank="1" type="list">
      <formula1>='分类与状态'!$B$2:$B$8</formula1>
    </dataValidation>
    <dataValidation sqref="L2:L101" showDropDown="0" showInputMessage="0" showErrorMessage="0" allowBlank="1" type="list">
      <formula1>='分类与状态'!$C$2:$C$6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6" customWidth="1" min="5" max="5"/>
  </cols>
  <sheetData>
    <row r="1">
      <c r="A1" s="1" t="inlineStr">
        <is>
          <t>分类</t>
        </is>
      </c>
      <c r="B1" s="1" t="inlineStr">
        <is>
          <t>成色</t>
        </is>
      </c>
      <c r="C1" s="1" t="inlineStr">
        <is>
          <t>上架状态</t>
        </is>
      </c>
      <c r="E1" s="11" t="inlineStr">
        <is>
          <t>使用建议</t>
        </is>
      </c>
    </row>
    <row r="2">
      <c r="A2" s="12" t="inlineStr">
        <is>
          <t>数码配件</t>
        </is>
      </c>
      <c r="B2" s="12" t="inlineStr">
        <is>
          <t>全新</t>
        </is>
      </c>
      <c r="C2" s="12" t="inlineStr">
        <is>
          <t>待拍图</t>
        </is>
      </c>
      <c r="E2" s="7" t="inlineStr">
        <is>
          <t>新增分类/状态时，先在本页对应列追加，再调整商品台账下拉范围。</t>
        </is>
      </c>
    </row>
    <row r="3">
      <c r="A3" s="13" t="inlineStr">
        <is>
          <t>文具</t>
        </is>
      </c>
      <c r="B3" s="13" t="inlineStr">
        <is>
          <t>99新</t>
        </is>
      </c>
      <c r="C3" s="13" t="inlineStr">
        <is>
          <t>待上架</t>
        </is>
      </c>
      <c r="E3" s="7" t="inlineStr">
        <is>
          <t>图片建议：主表放小缩略图，图片链接放高清原图或网盘/相册地址。</t>
        </is>
      </c>
    </row>
    <row r="4">
      <c r="A4" s="12" t="inlineStr">
        <is>
          <t>饰品</t>
        </is>
      </c>
      <c r="B4" s="12" t="inlineStr">
        <is>
          <t>9成新</t>
        </is>
      </c>
      <c r="C4" s="12" t="inlineStr">
        <is>
          <t>已上架</t>
        </is>
      </c>
      <c r="E4" s="7" t="inlineStr">
        <is>
          <t>如果开始计算运费，可在主表新增“运费成本”和“净利润”。</t>
        </is>
      </c>
    </row>
    <row r="5">
      <c r="A5" s="13" t="inlineStr">
        <is>
          <t>家居</t>
        </is>
      </c>
      <c r="B5" s="13" t="inlineStr">
        <is>
          <t>8成新</t>
        </is>
      </c>
      <c r="C5" s="13" t="inlineStr">
        <is>
          <t>已售出</t>
        </is>
      </c>
    </row>
    <row r="6">
      <c r="A6" s="12" t="inlineStr">
        <is>
          <t>杂货</t>
        </is>
      </c>
      <c r="B6" s="12" t="inlineStr">
        <is>
          <t>7成新</t>
        </is>
      </c>
      <c r="C6" s="12" t="inlineStr">
        <is>
          <t>下架</t>
        </is>
      </c>
    </row>
    <row r="7">
      <c r="A7" s="13" t="inlineStr">
        <is>
          <t>服饰</t>
        </is>
      </c>
      <c r="B7" s="13" t="inlineStr">
        <is>
          <t>有瑕疵</t>
        </is>
      </c>
    </row>
    <row r="8">
      <c r="A8" s="12" t="inlineStr">
        <is>
          <t>玩具</t>
        </is>
      </c>
      <c r="B8" s="12" t="inlineStr">
        <is>
          <t>仅配件</t>
        </is>
      </c>
    </row>
    <row r="9">
      <c r="A9" s="13" t="inlineStr">
        <is>
          <t>美妆小样</t>
        </is>
      </c>
    </row>
    <row r="10">
      <c r="A10" s="12" t="inlineStr">
        <is>
          <t>书籍</t>
        </is>
      </c>
    </row>
    <row r="11">
      <c r="A11" s="13" t="inlineStr">
        <is>
          <t>其他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4" max="4"/>
    <col width="10" customWidth="1" min="5" max="5"/>
  </cols>
  <sheetData>
    <row r="1" ht="36" customHeight="1">
      <c r="A1" s="14" t="inlineStr">
        <is>
          <t>闲鱼一元小店 数据看板</t>
        </is>
      </c>
    </row>
    <row r="3" ht="24" customHeight="1">
      <c r="A3" s="15" t="inlineStr">
        <is>
          <t>总商品数</t>
        </is>
      </c>
      <c r="B3" s="16">
        <f>COUNTA('商品台账'!C2:C101)</f>
        <v/>
      </c>
      <c r="D3" s="17" t="inlineStr">
        <is>
          <t>状态</t>
        </is>
      </c>
      <c r="E3" s="17" t="inlineStr">
        <is>
          <t>数量</t>
        </is>
      </c>
    </row>
    <row r="4" ht="24" customHeight="1">
      <c r="A4" s="15" t="inlineStr">
        <is>
          <t>待拍图</t>
        </is>
      </c>
      <c r="B4" s="16">
        <f>COUNTIF('商品台账'!L2:L101,"待拍图")</f>
        <v/>
      </c>
      <c r="D4" s="18" t="inlineStr">
        <is>
          <t>待拍图</t>
        </is>
      </c>
      <c r="E4" s="18">
        <f>COUNTIF('商品台账'!L2:L101,"待拍图")</f>
        <v/>
      </c>
    </row>
    <row r="5" ht="24" customHeight="1">
      <c r="A5" s="15" t="inlineStr">
        <is>
          <t>待上架</t>
        </is>
      </c>
      <c r="B5" s="16">
        <f>COUNTIF('商品台账'!L2:L101,"待上架")</f>
        <v/>
      </c>
      <c r="D5" s="19" t="inlineStr">
        <is>
          <t>待上架</t>
        </is>
      </c>
      <c r="E5" s="19">
        <f>COUNTIF('商品台账'!L2:L101,"待上架")</f>
        <v/>
      </c>
    </row>
    <row r="6" ht="24" customHeight="1">
      <c r="A6" s="15" t="inlineStr">
        <is>
          <t>已上架</t>
        </is>
      </c>
      <c r="B6" s="16">
        <f>COUNTIF('商品台账'!L2:L101,"已上架")</f>
        <v/>
      </c>
      <c r="D6" s="18" t="inlineStr">
        <is>
          <t>已上架</t>
        </is>
      </c>
      <c r="E6" s="18">
        <f>COUNTIF('商品台账'!L2:L101,"已上架")</f>
        <v/>
      </c>
    </row>
    <row r="7" ht="24" customHeight="1">
      <c r="A7" s="15" t="inlineStr">
        <is>
          <t>已售出</t>
        </is>
      </c>
      <c r="B7" s="16">
        <f>COUNTIF('商品台账'!L2:L101,"已售出")</f>
        <v/>
      </c>
      <c r="D7" s="19" t="inlineStr">
        <is>
          <t>已售出</t>
        </is>
      </c>
      <c r="E7" s="19">
        <f>COUNTIF('商品台账'!L2:L101,"已售出")</f>
        <v/>
      </c>
    </row>
    <row r="8" ht="24" customHeight="1">
      <c r="A8" s="15" t="inlineStr">
        <is>
          <t>总库存</t>
        </is>
      </c>
      <c r="B8" s="16">
        <f>SUM('商品台账'!K2:K101)</f>
        <v/>
      </c>
      <c r="D8" s="18" t="inlineStr">
        <is>
          <t>下架</t>
        </is>
      </c>
      <c r="E8" s="18">
        <f>COUNTIF('商品台账'!L2:L101,"下架")</f>
        <v/>
      </c>
    </row>
    <row r="9" ht="24" customHeight="1">
      <c r="A9" s="15" t="inlineStr">
        <is>
          <t>总成本</t>
        </is>
      </c>
      <c r="B9" s="20">
        <f>SUM('商品台账'!G2:G101)</f>
        <v/>
      </c>
    </row>
    <row r="10" ht="24" customHeight="1">
      <c r="A10" s="15" t="inlineStr">
        <is>
          <t>预估销售额</t>
        </is>
      </c>
      <c r="B10" s="20">
        <f>SUM('商品台账'!H2:H101)</f>
        <v/>
      </c>
    </row>
    <row r="11" ht="24" customHeight="1">
      <c r="A11" s="15" t="inlineStr">
        <is>
          <t>预估利润</t>
        </is>
      </c>
      <c r="B11" s="20">
        <f>SUM('商品台账'!I2:I101)</f>
        <v/>
      </c>
    </row>
    <row r="12" ht="24" customHeight="1"/>
    <row r="13" ht="24" customHeight="1"/>
    <row r="14" ht="24" customHeight="1">
      <c r="A14" s="21" t="inlineStr">
        <is>
          <t>维护节奏</t>
        </is>
      </c>
      <c r="B14" s="21" t="n"/>
    </row>
    <row r="15" ht="24" customHeight="1">
      <c r="A15" s="22" t="inlineStr">
        <is>
          <t>1. 拍图后，把缩略图放入商品台账 B 列，高清图链接放 M 列。</t>
        </is>
      </c>
      <c r="B15" s="22" t="n"/>
    </row>
    <row r="16" ht="24" customHeight="1">
      <c r="A16" s="22" t="inlineStr">
        <is>
          <t>2. 上架后补 N 列闲鱼链接，并把状态改为已上架。</t>
        </is>
      </c>
      <c r="B16" s="22" t="n"/>
    </row>
    <row r="17" ht="24" customHeight="1">
      <c r="A17" s="22" t="inlineStr">
        <is>
          <t>3. 成交后改为已售出，备注里记录议价或复盘。</t>
        </is>
      </c>
      <c r="B17" s="22" t="n"/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2026-07-10T05:16:32Z</dcterms:created>
  <dcterms:modified xmlns:dcterms="http://purl.org/dc/terms/" xmlns:xsi="http://www.w3.org/2001/XMLSchema-instance" xsi:type="dcterms:W3CDTF">2026-07-10T05:16:32Z</dcterms:modified>
</cp:coreProperties>
</file>